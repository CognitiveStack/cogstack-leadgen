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07bf5e6e7fa6b/Documents/"/>
    </mc:Choice>
  </mc:AlternateContent>
  <xr:revisionPtr revIDLastSave="163" documentId="8_{939FB19A-E93A-4802-AF2A-041EE9EE94C1}" xr6:coauthVersionLast="47" xr6:coauthVersionMax="47" xr10:uidLastSave="{097C7B33-F830-46E9-AF58-0CEB3E1FF859}"/>
  <bookViews>
    <workbookView xWindow="-108" yWindow="-108" windowWidth="23256" windowHeight="12456" xr2:uid="{D9B9B196-9ACD-4A2D-9D88-F758D2B0BC4B}"/>
  </bookViews>
  <sheets>
    <sheet name="Sheet1" sheetId="1" r:id="rId1"/>
  </sheets>
  <definedNames>
    <definedName name="_xlnm._FilterDatabase" localSheetId="0" hidden="1">Sheet1!$A$1:$P$119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9" i="1" l="1"/>
  <c r="N119" i="1" s="1"/>
  <c r="K119" i="1"/>
  <c r="L118" i="1"/>
  <c r="N118" i="1" s="1"/>
  <c r="K118" i="1"/>
  <c r="L117" i="1"/>
  <c r="N117" i="1" s="1"/>
  <c r="K117" i="1"/>
  <c r="L116" i="1"/>
  <c r="N116" i="1" s="1"/>
  <c r="K116" i="1"/>
  <c r="L115" i="1"/>
  <c r="N115" i="1" s="1"/>
  <c r="K115" i="1"/>
  <c r="L114" i="1"/>
  <c r="N114" i="1" s="1"/>
  <c r="K114" i="1"/>
  <c r="L113" i="1"/>
  <c r="N113" i="1" s="1"/>
  <c r="K113" i="1"/>
  <c r="L112" i="1"/>
  <c r="N112" i="1" s="1"/>
  <c r="K112" i="1"/>
  <c r="L111" i="1"/>
  <c r="N111" i="1" s="1"/>
  <c r="K111" i="1"/>
  <c r="L110" i="1"/>
  <c r="N110" i="1" s="1"/>
  <c r="K110" i="1"/>
  <c r="L109" i="1"/>
  <c r="N109" i="1" s="1"/>
  <c r="K109" i="1"/>
  <c r="L108" i="1"/>
  <c r="N108" i="1" s="1"/>
  <c r="K108" i="1"/>
  <c r="L107" i="1"/>
  <c r="N107" i="1" s="1"/>
  <c r="K107" i="1"/>
  <c r="L106" i="1"/>
  <c r="N106" i="1" s="1"/>
  <c r="K106" i="1"/>
  <c r="L105" i="1"/>
  <c r="N105" i="1" s="1"/>
  <c r="K105" i="1"/>
  <c r="L104" i="1"/>
  <c r="N104" i="1" s="1"/>
  <c r="K104" i="1"/>
  <c r="L103" i="1"/>
  <c r="N103" i="1" s="1"/>
  <c r="K103" i="1"/>
  <c r="L102" i="1"/>
  <c r="N102" i="1" s="1"/>
  <c r="K102" i="1"/>
  <c r="L101" i="1"/>
  <c r="N101" i="1" s="1"/>
  <c r="K101" i="1"/>
  <c r="L100" i="1"/>
  <c r="N100" i="1" s="1"/>
  <c r="K100" i="1"/>
  <c r="L99" i="1"/>
  <c r="N99" i="1" s="1"/>
  <c r="K99" i="1"/>
  <c r="L98" i="1"/>
  <c r="N98" i="1" s="1"/>
  <c r="K98" i="1"/>
  <c r="L97" i="1"/>
  <c r="N97" i="1" s="1"/>
  <c r="K97" i="1"/>
  <c r="L96" i="1"/>
  <c r="N96" i="1" s="1"/>
  <c r="K96" i="1"/>
  <c r="L95" i="1"/>
  <c r="N95" i="1" s="1"/>
  <c r="K95" i="1"/>
  <c r="L94" i="1"/>
  <c r="N94" i="1" s="1"/>
  <c r="K94" i="1"/>
  <c r="L93" i="1"/>
  <c r="N93" i="1" s="1"/>
  <c r="K93" i="1"/>
  <c r="L92" i="1"/>
  <c r="N92" i="1" s="1"/>
  <c r="K92" i="1"/>
  <c r="L91" i="1"/>
  <c r="N91" i="1" s="1"/>
  <c r="K91" i="1"/>
  <c r="L90" i="1"/>
  <c r="N90" i="1" s="1"/>
  <c r="K90" i="1"/>
  <c r="L89" i="1"/>
  <c r="N89" i="1" s="1"/>
  <c r="K89" i="1"/>
  <c r="L88" i="1"/>
  <c r="N88" i="1" s="1"/>
  <c r="K88" i="1"/>
  <c r="L87" i="1"/>
  <c r="N87" i="1" s="1"/>
  <c r="K87" i="1"/>
  <c r="L86" i="1"/>
  <c r="N86" i="1" s="1"/>
  <c r="K86" i="1"/>
  <c r="L85" i="1"/>
  <c r="N85" i="1" s="1"/>
  <c r="K85" i="1"/>
  <c r="L84" i="1"/>
  <c r="N84" i="1" s="1"/>
  <c r="K84" i="1"/>
  <c r="L83" i="1"/>
  <c r="N83" i="1" s="1"/>
  <c r="K83" i="1"/>
  <c r="N82" i="1"/>
  <c r="L82" i="1"/>
  <c r="K82" i="1"/>
  <c r="M82" i="1" s="1"/>
  <c r="L81" i="1"/>
  <c r="N81" i="1" s="1"/>
  <c r="K81" i="1"/>
  <c r="L80" i="1"/>
  <c r="N80" i="1" s="1"/>
  <c r="K80" i="1"/>
  <c r="L79" i="1"/>
  <c r="N79" i="1" s="1"/>
  <c r="K79" i="1"/>
  <c r="L78" i="1"/>
  <c r="N78" i="1" s="1"/>
  <c r="K78" i="1"/>
  <c r="L77" i="1"/>
  <c r="N77" i="1" s="1"/>
  <c r="K77" i="1"/>
  <c r="M77" i="1" s="1"/>
  <c r="O77" i="1" s="1"/>
  <c r="L76" i="1"/>
  <c r="K76" i="1"/>
  <c r="L75" i="1"/>
  <c r="N75" i="1" s="1"/>
  <c r="K75" i="1"/>
  <c r="L74" i="1"/>
  <c r="N74" i="1" s="1"/>
  <c r="K74" i="1"/>
  <c r="L73" i="1"/>
  <c r="N73" i="1" s="1"/>
  <c r="K73" i="1"/>
  <c r="L72" i="1"/>
  <c r="N72" i="1" s="1"/>
  <c r="K72" i="1"/>
  <c r="L71" i="1"/>
  <c r="N71" i="1" s="1"/>
  <c r="K71" i="1"/>
  <c r="L70" i="1"/>
  <c r="N70" i="1" s="1"/>
  <c r="K70" i="1"/>
  <c r="L69" i="1"/>
  <c r="N69" i="1" s="1"/>
  <c r="K69" i="1"/>
  <c r="L68" i="1"/>
  <c r="N68" i="1" s="1"/>
  <c r="K68" i="1"/>
  <c r="L67" i="1"/>
  <c r="N67" i="1" s="1"/>
  <c r="K67" i="1"/>
  <c r="L66" i="1"/>
  <c r="N66" i="1" s="1"/>
  <c r="K66" i="1"/>
  <c r="L65" i="1"/>
  <c r="N65" i="1" s="1"/>
  <c r="K65" i="1"/>
  <c r="L64" i="1"/>
  <c r="N64" i="1" s="1"/>
  <c r="K64" i="1"/>
  <c r="L63" i="1"/>
  <c r="N63" i="1" s="1"/>
  <c r="K63" i="1"/>
  <c r="L62" i="1"/>
  <c r="N62" i="1" s="1"/>
  <c r="K62" i="1"/>
  <c r="L61" i="1"/>
  <c r="N61" i="1" s="1"/>
  <c r="K61" i="1"/>
  <c r="L60" i="1"/>
  <c r="N60" i="1" s="1"/>
  <c r="K60" i="1"/>
  <c r="L59" i="1"/>
  <c r="N59" i="1" s="1"/>
  <c r="K59" i="1"/>
  <c r="L58" i="1"/>
  <c r="N58" i="1" s="1"/>
  <c r="K58" i="1"/>
  <c r="L57" i="1"/>
  <c r="N57" i="1" s="1"/>
  <c r="K57" i="1"/>
  <c r="L56" i="1"/>
  <c r="N56" i="1" s="1"/>
  <c r="K56" i="1"/>
  <c r="L55" i="1"/>
  <c r="N55" i="1" s="1"/>
  <c r="K55" i="1"/>
  <c r="L54" i="1"/>
  <c r="N54" i="1" s="1"/>
  <c r="K54" i="1"/>
  <c r="L53" i="1"/>
  <c r="N53" i="1" s="1"/>
  <c r="K53" i="1"/>
  <c r="L52" i="1"/>
  <c r="N52" i="1" s="1"/>
  <c r="K52" i="1"/>
  <c r="L51" i="1"/>
  <c r="N51" i="1" s="1"/>
  <c r="K51" i="1"/>
  <c r="L50" i="1"/>
  <c r="N50" i="1" s="1"/>
  <c r="K50" i="1"/>
  <c r="L49" i="1"/>
  <c r="N49" i="1" s="1"/>
  <c r="K49" i="1"/>
  <c r="L48" i="1"/>
  <c r="N48" i="1" s="1"/>
  <c r="K48" i="1"/>
  <c r="L47" i="1"/>
  <c r="N47" i="1" s="1"/>
  <c r="K47" i="1"/>
  <c r="L46" i="1"/>
  <c r="N46" i="1" s="1"/>
  <c r="K46" i="1"/>
  <c r="L45" i="1"/>
  <c r="N45" i="1" s="1"/>
  <c r="K45" i="1"/>
  <c r="L44" i="1"/>
  <c r="N44" i="1" s="1"/>
  <c r="K44" i="1"/>
  <c r="L43" i="1"/>
  <c r="N43" i="1" s="1"/>
  <c r="K43" i="1"/>
  <c r="L42" i="1"/>
  <c r="N42" i="1" s="1"/>
  <c r="K42" i="1"/>
  <c r="L41" i="1"/>
  <c r="N41" i="1" s="1"/>
  <c r="K41" i="1"/>
  <c r="L40" i="1"/>
  <c r="N40" i="1" s="1"/>
  <c r="K40" i="1"/>
  <c r="L39" i="1"/>
  <c r="N39" i="1" s="1"/>
  <c r="K39" i="1"/>
  <c r="L38" i="1"/>
  <c r="N38" i="1" s="1"/>
  <c r="K38" i="1"/>
  <c r="L37" i="1"/>
  <c r="N37" i="1" s="1"/>
  <c r="K37" i="1"/>
  <c r="L36" i="1"/>
  <c r="N36" i="1" s="1"/>
  <c r="K36" i="1"/>
  <c r="L35" i="1"/>
  <c r="N35" i="1" s="1"/>
  <c r="K35" i="1"/>
  <c r="L34" i="1"/>
  <c r="N34" i="1" s="1"/>
  <c r="K34" i="1"/>
  <c r="L33" i="1"/>
  <c r="N33" i="1" s="1"/>
  <c r="K33" i="1"/>
  <c r="L32" i="1"/>
  <c r="N32" i="1" s="1"/>
  <c r="K32" i="1"/>
  <c r="L31" i="1"/>
  <c r="N31" i="1" s="1"/>
  <c r="K31" i="1"/>
  <c r="L30" i="1"/>
  <c r="N30" i="1" s="1"/>
  <c r="K30" i="1"/>
  <c r="L29" i="1"/>
  <c r="N29" i="1" s="1"/>
  <c r="K29" i="1"/>
  <c r="L28" i="1"/>
  <c r="K28" i="1"/>
  <c r="L27" i="1"/>
  <c r="K27" i="1"/>
  <c r="L26" i="1"/>
  <c r="N26" i="1" s="1"/>
  <c r="K26" i="1"/>
  <c r="L25" i="1"/>
  <c r="N25" i="1" s="1"/>
  <c r="K25" i="1"/>
  <c r="L24" i="1"/>
  <c r="N24" i="1" s="1"/>
  <c r="K24" i="1"/>
  <c r="L23" i="1"/>
  <c r="N23" i="1" s="1"/>
  <c r="K23" i="1"/>
  <c r="L22" i="1"/>
  <c r="N22" i="1" s="1"/>
  <c r="K22" i="1"/>
  <c r="L21" i="1"/>
  <c r="N21" i="1" s="1"/>
  <c r="K21" i="1"/>
  <c r="L20" i="1"/>
  <c r="N20" i="1" s="1"/>
  <c r="K20" i="1"/>
  <c r="L19" i="1"/>
  <c r="N19" i="1" s="1"/>
  <c r="K19" i="1"/>
  <c r="L18" i="1"/>
  <c r="N18" i="1" s="1"/>
  <c r="K18" i="1"/>
  <c r="L17" i="1"/>
  <c r="N17" i="1" s="1"/>
  <c r="K17" i="1"/>
  <c r="L16" i="1"/>
  <c r="N16" i="1" s="1"/>
  <c r="K16" i="1"/>
  <c r="L15" i="1"/>
  <c r="N15" i="1" s="1"/>
  <c r="K15" i="1"/>
  <c r="L14" i="1"/>
  <c r="N14" i="1" s="1"/>
  <c r="K14" i="1"/>
  <c r="L13" i="1"/>
  <c r="N13" i="1" s="1"/>
  <c r="K13" i="1"/>
  <c r="L12" i="1"/>
  <c r="N12" i="1" s="1"/>
  <c r="K12" i="1"/>
  <c r="L11" i="1"/>
  <c r="N11" i="1" s="1"/>
  <c r="K11" i="1"/>
  <c r="L10" i="1"/>
  <c r="N10" i="1" s="1"/>
  <c r="K10" i="1"/>
  <c r="L9" i="1"/>
  <c r="N9" i="1" s="1"/>
  <c r="K9" i="1"/>
  <c r="L8" i="1"/>
  <c r="N8" i="1" s="1"/>
  <c r="K8" i="1"/>
  <c r="L7" i="1"/>
  <c r="N7" i="1" s="1"/>
  <c r="K7" i="1"/>
  <c r="L6" i="1"/>
  <c r="N6" i="1" s="1"/>
  <c r="K6" i="1"/>
  <c r="L5" i="1"/>
  <c r="N5" i="1" s="1"/>
  <c r="K5" i="1"/>
  <c r="L4" i="1"/>
  <c r="N4" i="1" s="1"/>
  <c r="K4" i="1"/>
  <c r="L3" i="1"/>
  <c r="N3" i="1" s="1"/>
  <c r="K3" i="1"/>
  <c r="K2" i="1"/>
  <c r="L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2" i="1"/>
  <c r="M69" i="1" l="1"/>
  <c r="O82" i="1"/>
  <c r="M73" i="1"/>
  <c r="M2" i="1"/>
  <c r="M19" i="1"/>
  <c r="M36" i="1"/>
  <c r="O36" i="1" s="1"/>
  <c r="M96" i="1"/>
  <c r="M52" i="1"/>
  <c r="M76" i="1"/>
  <c r="M14" i="1"/>
  <c r="O14" i="1" s="1"/>
  <c r="M93" i="1"/>
  <c r="O93" i="1" s="1"/>
  <c r="M109" i="1"/>
  <c r="O109" i="1" s="1"/>
  <c r="M27" i="1"/>
  <c r="M47" i="1"/>
  <c r="O47" i="1" s="1"/>
  <c r="M94" i="1"/>
  <c r="O94" i="1" s="1"/>
  <c r="M48" i="1"/>
  <c r="O48" i="1" s="1"/>
  <c r="M95" i="1"/>
  <c r="O95" i="1" s="1"/>
  <c r="M111" i="1"/>
  <c r="M17" i="1"/>
  <c r="M28" i="1"/>
  <c r="M98" i="1"/>
  <c r="O98" i="1" s="1"/>
  <c r="M15" i="1"/>
  <c r="O15" i="1" s="1"/>
  <c r="M61" i="1"/>
  <c r="M63" i="1"/>
  <c r="O63" i="1" s="1"/>
  <c r="M65" i="1"/>
  <c r="O65" i="1" s="1"/>
  <c r="M35" i="1"/>
  <c r="O35" i="1" s="1"/>
  <c r="M20" i="1"/>
  <c r="O20" i="1" s="1"/>
  <c r="M49" i="1"/>
  <c r="O49" i="1" s="1"/>
  <c r="M71" i="1"/>
  <c r="O71" i="1" s="1"/>
  <c r="M78" i="1"/>
  <c r="O78" i="1" s="1"/>
  <c r="M72" i="1"/>
  <c r="O72" i="1" s="1"/>
  <c r="M79" i="1"/>
  <c r="O79" i="1" s="1"/>
  <c r="M30" i="1"/>
  <c r="O30" i="1" s="1"/>
  <c r="M51" i="1"/>
  <c r="O51" i="1" s="1"/>
  <c r="M66" i="1"/>
  <c r="O66" i="1" s="1"/>
  <c r="M80" i="1"/>
  <c r="O80" i="1" s="1"/>
  <c r="M16" i="1"/>
  <c r="O16" i="1" s="1"/>
  <c r="M31" i="1"/>
  <c r="O31" i="1" s="1"/>
  <c r="M46" i="1"/>
  <c r="O46" i="1" s="1"/>
  <c r="M110" i="1"/>
  <c r="O110" i="1" s="1"/>
  <c r="M3" i="1"/>
  <c r="O3" i="1" s="1"/>
  <c r="M32" i="1"/>
  <c r="O32" i="1" s="1"/>
  <c r="O96" i="1"/>
  <c r="M4" i="1"/>
  <c r="O4" i="1" s="1"/>
  <c r="M62" i="1"/>
  <c r="O62" i="1" s="1"/>
  <c r="M112" i="1"/>
  <c r="O112" i="1" s="1"/>
  <c r="M70" i="1"/>
  <c r="O70" i="1" s="1"/>
  <c r="O17" i="1"/>
  <c r="M10" i="1"/>
  <c r="O10" i="1" s="1"/>
  <c r="M21" i="1"/>
  <c r="O21" i="1" s="1"/>
  <c r="M33" i="1"/>
  <c r="O33" i="1" s="1"/>
  <c r="M40" i="1"/>
  <c r="O40" i="1" s="1"/>
  <c r="M64" i="1"/>
  <c r="O64" i="1" s="1"/>
  <c r="N76" i="1"/>
  <c r="M81" i="1"/>
  <c r="O81" i="1" s="1"/>
  <c r="M88" i="1"/>
  <c r="O88" i="1" s="1"/>
  <c r="M100" i="1"/>
  <c r="O100" i="1" s="1"/>
  <c r="M113" i="1"/>
  <c r="O113" i="1" s="1"/>
  <c r="O52" i="1"/>
  <c r="M11" i="1"/>
  <c r="O11" i="1" s="1"/>
  <c r="M22" i="1"/>
  <c r="O22" i="1" s="1"/>
  <c r="M29" i="1"/>
  <c r="O29" i="1" s="1"/>
  <c r="M34" i="1"/>
  <c r="O34" i="1" s="1"/>
  <c r="M41" i="1"/>
  <c r="O41" i="1" s="1"/>
  <c r="M89" i="1"/>
  <c r="O89" i="1" s="1"/>
  <c r="M101" i="1"/>
  <c r="O101" i="1" s="1"/>
  <c r="M114" i="1"/>
  <c r="O114" i="1" s="1"/>
  <c r="M23" i="1"/>
  <c r="O23" i="1" s="1"/>
  <c r="M42" i="1"/>
  <c r="O42" i="1" s="1"/>
  <c r="M53" i="1"/>
  <c r="O53" i="1" s="1"/>
  <c r="M90" i="1"/>
  <c r="O90" i="1" s="1"/>
  <c r="M102" i="1"/>
  <c r="O102" i="1" s="1"/>
  <c r="M5" i="1"/>
  <c r="O5" i="1" s="1"/>
  <c r="M24" i="1"/>
  <c r="O24" i="1" s="1"/>
  <c r="M54" i="1"/>
  <c r="O54" i="1" s="1"/>
  <c r="M83" i="1"/>
  <c r="O83" i="1" s="1"/>
  <c r="M103" i="1"/>
  <c r="O103" i="1" s="1"/>
  <c r="M115" i="1"/>
  <c r="O115" i="1" s="1"/>
  <c r="M6" i="1"/>
  <c r="O6" i="1" s="1"/>
  <c r="M13" i="1"/>
  <c r="O13" i="1" s="1"/>
  <c r="M18" i="1"/>
  <c r="O18" i="1" s="1"/>
  <c r="M25" i="1"/>
  <c r="O25" i="1" s="1"/>
  <c r="M55" i="1"/>
  <c r="O55" i="1" s="1"/>
  <c r="M84" i="1"/>
  <c r="O84" i="1" s="1"/>
  <c r="M97" i="1"/>
  <c r="O97" i="1" s="1"/>
  <c r="M104" i="1"/>
  <c r="O104" i="1" s="1"/>
  <c r="M116" i="1"/>
  <c r="O116" i="1" s="1"/>
  <c r="M7" i="1"/>
  <c r="O7" i="1" s="1"/>
  <c r="M26" i="1"/>
  <c r="O26" i="1" s="1"/>
  <c r="M37" i="1"/>
  <c r="O37" i="1" s="1"/>
  <c r="M56" i="1"/>
  <c r="O56" i="1" s="1"/>
  <c r="M67" i="1"/>
  <c r="O67" i="1" s="1"/>
  <c r="M74" i="1"/>
  <c r="O74" i="1" s="1"/>
  <c r="M85" i="1"/>
  <c r="O85" i="1" s="1"/>
  <c r="M105" i="1"/>
  <c r="O105" i="1" s="1"/>
  <c r="M117" i="1"/>
  <c r="O117" i="1" s="1"/>
  <c r="O111" i="1"/>
  <c r="M8" i="1"/>
  <c r="O8" i="1" s="1"/>
  <c r="M38" i="1"/>
  <c r="O38" i="1" s="1"/>
  <c r="M45" i="1"/>
  <c r="O45" i="1" s="1"/>
  <c r="M50" i="1"/>
  <c r="O50" i="1" s="1"/>
  <c r="M57" i="1"/>
  <c r="O57" i="1" s="1"/>
  <c r="M68" i="1"/>
  <c r="O68" i="1" s="1"/>
  <c r="M86" i="1"/>
  <c r="O86" i="1" s="1"/>
  <c r="M106" i="1"/>
  <c r="O106" i="1" s="1"/>
  <c r="M118" i="1"/>
  <c r="O118" i="1" s="1"/>
  <c r="M9" i="1"/>
  <c r="O9" i="1" s="1"/>
  <c r="M39" i="1"/>
  <c r="O39" i="1" s="1"/>
  <c r="M58" i="1"/>
  <c r="O58" i="1" s="1"/>
  <c r="M87" i="1"/>
  <c r="O87" i="1" s="1"/>
  <c r="M99" i="1"/>
  <c r="O99" i="1" s="1"/>
  <c r="M119" i="1"/>
  <c r="O119" i="1" s="1"/>
  <c r="O61" i="1"/>
  <c r="O73" i="1"/>
  <c r="O19" i="1"/>
  <c r="O69" i="1"/>
  <c r="M43" i="1"/>
  <c r="O43" i="1" s="1"/>
  <c r="M59" i="1"/>
  <c r="O59" i="1" s="1"/>
  <c r="M75" i="1"/>
  <c r="O75" i="1" s="1"/>
  <c r="M91" i="1"/>
  <c r="O91" i="1" s="1"/>
  <c r="M107" i="1"/>
  <c r="O107" i="1" s="1"/>
  <c r="N27" i="1"/>
  <c r="M44" i="1"/>
  <c r="O44" i="1" s="1"/>
  <c r="M60" i="1"/>
  <c r="O60" i="1" s="1"/>
  <c r="M92" i="1"/>
  <c r="O92" i="1" s="1"/>
  <c r="M108" i="1"/>
  <c r="O108" i="1" s="1"/>
  <c r="M12" i="1"/>
  <c r="O12" i="1" s="1"/>
  <c r="N28" i="1"/>
  <c r="N2" i="1"/>
  <c r="O2" i="1" s="1"/>
  <c r="O27" i="1" l="1"/>
  <c r="O76" i="1"/>
  <c r="O28" i="1"/>
</calcChain>
</file>

<file path=xl/sharedStrings.xml><?xml version="1.0" encoding="utf-8"?>
<sst xmlns="http://schemas.openxmlformats.org/spreadsheetml/2006/main" count="1036" uniqueCount="693">
  <si>
    <t>Source Platform</t>
  </si>
  <si>
    <t>Lead Name</t>
  </si>
  <si>
    <t>Telephone</t>
  </si>
  <si>
    <t>Email Address</t>
  </si>
  <si>
    <t>Expressed Interest</t>
  </si>
  <si>
    <t>Motivation</t>
  </si>
  <si>
    <t>Additional Info</t>
  </si>
  <si>
    <t>N/A</t>
  </si>
  <si>
    <t>Google - Electrician</t>
  </si>
  <si>
    <t>Danie Huyzers (DHE Electrical)</t>
  </si>
  <si>
    <t>info@dhelectrical-sa.co.za</t>
  </si>
  <si>
    <t>Active small business providing emergency electrical repairs; high vehicle usage.</t>
  </si>
  <si>
    <t>"A 24/7 emergency service requires a reliable tracker to ensure vehicle security during late-night call-outs in high-risk areas."</t>
  </si>
  <si>
    <t>Daniel (Excell Electrical)</t>
  </si>
  <si>
    <t>daniel@excellelectrical.co.za</t>
  </si>
  <si>
    <t>Commercial and industrial electrician with a mobile team.</t>
  </si>
  <si>
    <t>"Protect specialized tools and equipment inside work vans, which are prime targets for opportunistic theft."</t>
  </si>
  <si>
    <t>{"token":"2d34f055-85e2-456b-aa3e-fc51df6583af","method":"createLead","external_system_uid":"B2C - 9PointPlanWA","external_source_id":"10001","name":"Daniel (Excell Electrical)","phone":"0829549452","lead_in_date":"22-March-2026 18:14:31","instance_uid":"793c83c2-f829-464c-ad82-a157cf85bf34","campaign_uid":"af7b2cbb-29a4-446b-b4fd-0199a060d9ad","email":"daniel@excellelectrical.co.za","remark_message":"Source: Google - Electrician (requested 2026-03-10) Commercial and industrial electrician with a mobile team.. Motivation: Protect specialized tools and equipment inside work vans, which are prime targets for opportunistic theft.. Context: Focused on solar and industrial maintenance.","meta":{"additional_partner_field1":"Suburb","additional_partner_field2":"Brackenfell Cape Town"}}</t>
  </si>
  <si>
    <t>Shane (Blue Cord Nine Electrical)</t>
  </si>
  <si>
    <t>info@bluecordnine.co.za</t>
  </si>
  <si>
    <t>Mobile electrical contractor specializing in maintenance and projects.</t>
  </si>
  <si>
    <t>"Ensure that the project team arrives at client sites on time and track fuel efficiency for a multi-vehicle operation."</t>
  </si>
  <si>
    <t>{"token":"5e2b9680-737f-4d00-b125-d9a76b3d5e72","method":"createLead","external_system_uid":"B2C - 9PointPlanWA","external_source_id":"10001","name":"Shane (Blue Cord Nine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Mobile electrical contractor specializing in maintenance and projects.. Motivation: Ensure that the project team arrives at client sites on time and track fuel efficiency for a multi-vehicle operation.. Context: BCN is a well-established small contractor in KZN.","meta":{"additional_partner_field1":"Suburb","additional_partner_field2":"Glenore Durban"}}</t>
  </si>
  <si>
    <t>Google - Plumber</t>
  </si>
  <si>
    <t>Marshall (Marshall Plumbing)</t>
  </si>
  <si>
    <t>marshallplumbingcapetown@gmail.com</t>
  </si>
  <si>
    <t>Owner-operated plumbing service with high local mobility.</t>
  </si>
  <si>
    <t>"As an owner-operator, losing a vehicle to theft would halt all income; a tracker is essential for business continuity."</t>
  </si>
  <si>
    <t>{"token":"e8c6a2c7-8399-46c2-8815-61316061e329","method":"createLead","external_system_uid":"B2C - 9PointPlanWA","external_source_id":"10001","name":"Marshall (Marshall Plumbing)","phone":"0824391871","lead_in_date":"22-March-2026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Owner-operated plumbing service with high local mobility.. Motivation: As an owner-operator, losing a vehicle to theft would halt all income; a tracker is essential for business continuity.. Context: Specializes in solar systems and leak detection.","meta":{"additional_partner_field1":"Suburb","additional_partner_field2":"Table View Cape Town"}}</t>
  </si>
  <si>
    <t>Chantelle (Green Planet Plumbing)</t>
  </si>
  <si>
    <t>chantelle@greenplanetplumbing.co.za</t>
  </si>
  <si>
    <t>Eco-friendly plumbing service operating across multiple regions.</t>
  </si>
  <si>
    <t>"Tracking helps in managing logistics between Gauteng and Western Cape branches efficiently."</t>
  </si>
  <si>
    <t>{"token":"97218617-ce25-4eff-a539-647a1d54d07f","method":"createLead","external_system_uid":"B2C - 9PointPlanWA","external_source_id":"10001","name":"Chantelle (Green Planet Plumbing)","phone":"0823443567","lead_in_date":"22-March-2026 18:14:31","instance_uid":"793c83c2-f829-464c-ad82-a157cf85bf34","campaign_uid":"af7b2cbb-29a4-446b-b4fd-0199a060d9ad","email":"chantelle@greenplanetplumbing.co.za","remark_message":"Source: Google - Plumber (requested 2026-02-16) Eco-friendly plumbing service operating across multiple regions.. Motivation: Tracking helps in managing logistics between Gauteng and Western Cape branches efficiently.. Context: Provides 24-hour repair services.","meta":{"additional_partner_field1":"Suburb","additional_partner_field2":"Parklands Cape Town"}}</t>
  </si>
  <si>
    <t>BNI Directory - Handyman</t>
  </si>
  <si>
    <t>Jeff McClure (ACE Handyman)</t>
  </si>
  <si>
    <t>Small business focused on commercial and office maintenance.</t>
  </si>
  <si>
    <t>"Commercial clients often require vendors to have vehicle tracking for safety and accountability when working on their premises."</t>
  </si>
  <si>
    <t>{"token":"c02f86b2-b1c8-485d-ae1a-343db0800629","method":"createLead","external_system_uid":"B2C - 9PointPlanWA","external_source_id":"10001","name":"Jeff McClure (ACE Handyman)","phone":"0829512386","lead_in_date":"22-March-2026 18:14:31","instance_uid":"793c83c2-f829-464c-ad82-a157cf85bf34","campaign_uid":"af7b2cbb-29a4-446b-b4fd-0199a060d9ad","email":"N/A","remark_message":"Source: BNI Directory - Handyman (requested 2026-03-01) Small business focused on commercial and office maintenance.. Motivation: Commercial clients often require vendors to have vehicle tracking for safety and accountability when working on their premises.. Context: Member of BNI Southern Lights.","meta":{"additional_partner_field1":"Suburb","additional_partner_field2":"Walkers Fruit Farms Johannesburg"}}</t>
  </si>
  <si>
    <t>Peter Bekker (B4 Electrical)</t>
  </si>
  <si>
    <t>Emergency electrician available 24/7.</t>
  </si>
  <si>
    <t>"Recovering a stolen vehicle quickly is vital for emergency responders to maintain their 'right the first time' service promise."</t>
  </si>
  <si>
    <t>{"token":"9a52b856-537f-4a31-9cdb-c2971fb54916","method":"createLead","external_system_uid":"B2C - 9PointPlanWA","external_source_id":"10001","name":"Peter Bekker (B4 Electrical)","phone":"0834520635","lead_in_date":"22-March-2026 18:14:31","instance_uid":"793c83c2-f829-464c-ad82-a157cf85bf34","campaign_uid":"af7b2cbb-29a4-446b-b4fd-0199a060d9ad","email":"N/A","remark_message":"Source: Google - Electrician (requested 2026-02-28) Emergency electrician available 24/7.. Motivation: Recovering a stolen vehicle quickly is vital for emergency responders to maintain their 'right the first time' service promise.. Context: Licensed and SABS compliant.","meta":{"additional_partner_field1":"Suburb","additional_partner_field2":"Varies Johannesburg"}}</t>
  </si>
  <si>
    <t>Gumtree - Bakkie Hire</t>
  </si>
  <si>
    <t>Denise Naidoo (Bakkie Hire)</t>
  </si>
  <si>
    <t>Logistics and removals operator with long-distance travel.</t>
  </si>
  <si>
    <t>"Long-distance furniture removals across provincial lines increase the risk of hijacking; real-time tracking provides peace of mind."</t>
  </si>
  <si>
    <t>{"token":"f7d693a5-ee82-436b-865f-5d7c909a7e32","method":"createLead","external_system_uid":"B2C - 9PointPlanWA","external_source_id":"10001","name":"Denise Naidoo (Bakkie Hire)","phone":"0746112704","lead_in_date":"22-March-2026 18:14:31","instance_uid":"793c83c2-f829-464c-ad82-a157cf85bf34","campaign_uid":"af7b2cbb-29a4-446b-b4fd-0199a060d9ad","email":"N/A","remark_message":"Source: Gumtree - Bakkie Hire (requested 2026-02-20) Logistics and removals operator with long-distance travel.. Motivation: Long-distance furniture removals across provincial lines increase the risk of hijacking; real-time tracking provides peace of mind.. Context: Based in Durban, travels to JHB and PE.","meta":{"additional_partner_field1":"Suburb","additional_partner_field2":"Amanzimtoti Durban"}}</t>
  </si>
  <si>
    <t>Gumtree - Removals</t>
  </si>
  <si>
    <t>Mike (Bakkie for Hire)</t>
  </si>
  <si>
    <t>Small business offering affordable transportation needs.</t>
  </si>
  <si>
    <t>"Tracking aids in providing accurate ETAs to customers and prevents unauthorized vehicle usage by hired assistants."</t>
  </si>
  <si>
    <t>{"token":"169a0e96-b323-4f86-85a1-c9fb2ab69468","method":"createLead","external_system_uid":"B2C - 9PointPlanWA","external_source_id":"10001","name":"Mike (Bakkie for Hire)","phone":"0824947638","lead_in_date":"22-March-2026 18:14:31","instance_uid":"793c83c2-f829-464c-ad82-a157cf85bf34","campaign_uid":"af7b2cbb-29a4-446b-b4fd-0199a060d9ad","email":"N/A","remark_message":"Source: Gumtree - Removals (requested 2026-03-10) Small business offering affordable transportation needs.. Motivation: Tracking aids in providing accurate ETAs to customers and prevents unauthorized vehicle usage by hired assistants.. Context: Available for local loads in Constantia area.","meta":{"additional_partner_field1":"Suburb","additional_partner_field2":"Constantia Cape Town"}}</t>
  </si>
  <si>
    <t>Google - Mobile Service</t>
  </si>
  <si>
    <t>GlowGo Mobile Car Wash</t>
  </si>
  <si>
    <t>info@glowgomobilecarwash.co.za</t>
  </si>
  <si>
    <t>Startup providing car care at client locations.</t>
  </si>
  <si>
    <t>"The mobile trolley and vehicle carrying equipment are valuable assets that need protection while operating in open parking areas."</t>
  </si>
  <si>
    <t>{"token":"18ae978e-aedd-40e1-8ea8-d807f5e1db0c","method":"createLead","external_system_uid":"B2C - 9PointPlanWA","external_source_id":"10001","name":"GlowGo Mobile Car Wash","phone":"0825853499","lead_in_date":"22-March-2026 18:14:31","instance_uid":"793c83c2-f829-464c-ad82-a157cf85bf34","campaign_uid":"af7b2cbb-29a4-446b-b4fd-0199a060d9ad","email":"info@glowgomobilecarwash.co.za","remark_message":"Source: Google - Mobile Service (requested 2026-03-12) Startup providing car care at client locations.. Motivation: The mobile trolley and vehicle carrying equipment are valuable assets that need protection while operating in open parking areas.. Context: Eco-friendly focus.","meta":{"additional_partner_field1":"Suburb","additional_partner_field2":"Strand Cape Town"}}</t>
  </si>
  <si>
    <t>Government Directory - Agriculture</t>
  </si>
  <si>
    <t>Mooketsa Ramasodi</t>
  </si>
  <si>
    <t>applications@dalrrd.gov.za</t>
  </si>
  <si>
    <t>Smallholder farmer coordinator/entrepreneur.</t>
  </si>
  <si>
    <t>"Farmers need trackers for tractors and livestock trailers to mitigate high rates of agricultural asset theft."</t>
  </si>
  <si>
    <t>{"token":"54a1ac96-1162-4575-ac87-72c032365956","method":"createLead","external_system_uid":"B2C - 9PointPlanWA","external_source_id":"10001","name":"Mooketsa Ramasodi","phone":"0832303326","lead_in_date":"22-March-2026 18:14:31","instance_uid":"793c83c2-f829-464c-ad82-a157cf85bf34","campaign_uid":"af7b2cbb-29a4-446b-b4fd-0199a060d9ad","email":"applications@dalrrd.gov.za","remark_message":"Source: Government Directory - Agriculture (requested 2026-01-23) Smallholder farmer coordinator/entrepreneur.. Motivation: Farmers need trackers for tractors and livestock trailers to mitigate high rates of agricultural asset theft.. Context: Part of the agricultural support relief database.","meta":{"additional_partner_field1":"Suburb","additional_partner_field2":"N/A Pretoria"}}</t>
  </si>
  <si>
    <t>Elder Mtshiza</t>
  </si>
  <si>
    <t>Livestock and crop smallholder business lead.</t>
  </si>
  <si>
    <t>"Protecting bakkies used for transporting fresh produce to markets is critical for maintaining supply chains."</t>
  </si>
  <si>
    <t>{"token":"37bdd50d-4a3f-4a70-bfab-3d23b0fb29ca","method":"createLead","external_system_uid":"B2C - 9PointPlanWA","external_source_id":"10001","name":"Elder Mtshiza","phone":"0769404502","lead_in_date":"22-March-2026 18:14:31","instance_uid":"793c83c2-f829-464c-ad82-a157cf85bf34","campaign_uid":"af7b2cbb-29a4-446b-b4fd-0199a060d9ad","email":"N/A","remark_message":"Source: Government Directory - Agriculture (requested 2026-01-23) Livestock and crop smallholder business lead.. Motivation: Protecting bakkies used for transporting fresh produce to markets is critical for maintaining supply chains.. Context: Department of Agriculture contact list.","meta":{"additional_partner_field1":"Suburb","additional_partner_field2":"N/A Pretoria"}}</t>
  </si>
  <si>
    <t>Government Directory - Gauteng Agriculture</t>
  </si>
  <si>
    <t>Matilda Gasela</t>
  </si>
  <si>
    <t>Entrepreneurial lead for small farming businesses in Gauteng.</t>
  </si>
  <si>
    <t>"Ensuring farm vehicles are tracked helps in lowering insurance premiums, which are a major expense for small micro-enterprises."</t>
  </si>
  <si>
    <t>{"token":"0fd210c6-b6e2-461a-9af3-5ee3cf0a17d6","method":"createLead","external_system_uid":"B2C - 9PointPlanWA","external_source_id":"10001","name":"Matilda Gasela","phone":"0714849122","lead_in_date":"22-March-2026 18:14:31","instance_uid":"793c83c2-f829-464c-ad82-a157cf85bf34","campaign_uid":"af7b2cbb-29a4-446b-b4fd-0199a060d9ad","email":"N/A","remark_message":"Source: Government Directory - Gauteng Agriculture (requested 2026-01-23) Entrepreneurial lead for small farming businesses in Gauteng.. Motivation: Ensuring farm vehicles are tracked helps in lowering insurance premiums, which are a major expense for small micro-enterprises.. Context: Gauteng province lead.","meta":{"additional_partner_field1":"Suburb","additional_partner_field2":"N/A Johannesburg"}}</t>
  </si>
  <si>
    <t>Google - Electrical Contractor</t>
  </si>
  <si>
    <t>Hillary Ngema (Nsibandos Electrical)</t>
  </si>
  <si>
    <t>asisipho@nsdelectrical.co.za</t>
  </si>
  <si>
    <t>Mobile technician for a small licensed electrical firm.</t>
  </si>
  <si>
    <t>"Vehicle monitoring ensures the safety of the crew when they are dispatched to remote construction sites."</t>
  </si>
  <si>
    <t>{"token":"86635f57-2a0d-425c-b97b-b8b0858bc492","method":"createLead","external_system_uid":"B2C - 9PointPlanWA","external_source_id":"10001","name":"Hillary Ngema (Nsibandos Electrical)","phone":"0825000207","lead_in_date":"22-March-2026 18:14:31","instance_uid":"793c83c2-f829-464c-ad82-a157cf85bf34","campaign_uid":"af7b2cbb-29a4-446b-b4fd-0199a060d9ad","email":"asisipho@nsdelectrical.co.za","remark_message":"Source: Google - Electrical Contractor (requested 2026-03-01) Mobile technician for a small licensed electrical firm.. Motivation: Vehicle monitoring ensures the safety of the crew when they are dispatched to remote construction sites.. Context: Accredited HVAC and electrical contractor.","meta":{"additional_partner_field1":"Suburb","additional_partner_field2":"Carletonville West Rand"}}</t>
  </si>
  <si>
    <t>Google - Landscaping</t>
  </si>
  <si>
    <t>Gill Cooper (Gill Cooper Gardens)</t>
  </si>
  <si>
    <t>Gill@gillcoopergardens.co.za</t>
  </si>
  <si>
    <t>Boutique landscaping business with a mobile team.</t>
  </si>
  <si>
    <t>"Protect the specialized trailers used for transporting high-value trees and landscaping equipment."</t>
  </si>
  <si>
    <t>{"token":"f65d5485-3745-4d7a-80f0-f9c66fb2279f","method":"createLead","external_system_uid":"B2C - 9PointPlanWA","external_source_id":"10001","name":"Gill Cooper (Gill Cooper Gardens)","phone":"0825620724","lead_in_date":"22-March-2026 18:14:31","instance_uid":"793c83c2-f829-464c-ad82-a157cf85bf34","campaign_uid":"af7b2cbb-29a4-446b-b4fd-0199a060d9ad","email":"Gill@gillcoopergardens.co.za","remark_message":"Source: Google - Landscaping (requested 2026-01-22) Boutique landscaping business with a mobile team.. Motivation: Protect the specialized trailers used for transporting high-value trees and landscaping equipment.. Context: Sustainable and biodiverse focus.","meta":{"additional_partner_field1":"Suburb","additional_partner_field2":"Houghton Johannesburg"}}</t>
  </si>
  <si>
    <t>Google - Courier Service</t>
  </si>
  <si>
    <t>Response Couriers</t>
  </si>
  <si>
    <t>Urgent delivery specialist for high-value items.</t>
  </si>
  <si>
    <t>"Same-day deliveries require strict time-tracking and high security to prevent the loss of time-critical parcels like medical samples."</t>
  </si>
  <si>
    <t>{"token":"a318da72-1705-4993-93fd-3d1b879ea3ed","method":"createLead","external_system_uid":"B2C - 9PointPlanWA","external_source_id":"10001","name":"Response Couriers","phone":"0829492041","lead_in_date":"22-March-2026 18:14:31","instance_uid":"793c83c2-f829-464c-ad82-a157cf85bf34","campaign_uid":"af7b2cbb-29a4-446b-b4fd-0199a060d9ad","email":"N/A","remark_message":"Source: Google - Courier Service (requested 2026-03-05) Urgent delivery specialist for high-value items.. Motivation: Same-day deliveries require strict time-tracking and high security to prevent the loss of time-critical parcels like medical samples.. Context: National footprint, branch in Durban.","meta":{"additional_partner_field1":"Suburb","additional_partner_field2":"Pinetown Durban"}}</t>
  </si>
  <si>
    <t>Google - Plumbing/Industrial</t>
  </si>
  <si>
    <t>Smet Jet Africa</t>
  </si>
  <si>
    <t>info@smetjetafrica.co.za</t>
  </si>
  <si>
    <t>Mobile plumbing and waste management company.</t>
  </si>
  <si>
    <t>"Protect specialized industrial waste equipment and vehicles that operate 24/7 in various hazardous environments."</t>
  </si>
  <si>
    <t>{"token":"b2683586-9289-4782-a5d3-600de980c795","method":"createLead","external_system_uid":"B2C - 9PointPlanWA","external_source_id":"10001","name":"Smet Jet Africa","phone":"0823026826","lead_in_date":"22-March-2026 18:14:31","instance_uid":"793c83c2-f829-464c-ad82-a157cf85bf34","campaign_uid":"af7b2cbb-29a4-446b-b4fd-0199a060d9ad","email":"info@smetjetafrica.co.za","remark_message":"Source: Google - Plumbing/Industrial (requested 2026-03-15) Mobile plumbing and waste management company.. Motivation: Protect specialized industrial waste equipment and vehicles that operate 24/7 in various hazardous environments.. Context: Head office in Evander.","meta":{"additional_partner_field1":"Suburb","additional_partner_field2":"Evander Secunda"}}</t>
  </si>
  <si>
    <t>Google - Delivery Service</t>
  </si>
  <si>
    <t>Cape Courier (Cape River Stone)</t>
  </si>
  <si>
    <t>info@caperiverstone.co.za</t>
  </si>
  <si>
    <t>Point-to-point same-day shipping provider.</t>
  </si>
  <si>
    <t>"With trucks returning empty from Cape Town to Worcester, tracking ensures these 'back-haul' trips are optimized and secure."</t>
  </si>
  <si>
    <t>{"token":"973fef35-259c-420c-a1ac-1b3820d07aeb","method":"createLead","external_system_uid":"B2C - 9PointPlanWA","external_source_id":"10001","name":"Cape Courier (Cape River Stone)","phone":"0822188070","lead_in_date":"22-March-2026 18:14:31","instance_uid":"793c83c2-f829-464c-ad82-a157cf85bf34","campaign_uid":"af7b2cbb-29a4-446b-b4fd-0199a060d9ad","email":"info@caperiverstone.co.za","remark_message":"Source: Google - Delivery Service (requested 2026-02-15) Point-to-point same-day shipping provider.. Motivation: With trucks returning empty from Cape Town to Worcester, tracking ensures these 'back-haul' trips are optimized and secure.. Context: Affordable courier alternative.","meta":{"additional_partner_field1":"Suburb","additional_partner_field2":"Langerug Worcester"}}</t>
  </si>
  <si>
    <t>Google - Handyman</t>
  </si>
  <si>
    <t>Fox Handyman Services</t>
  </si>
  <si>
    <t>admin@foxhandyman.co.za</t>
  </si>
  <si>
    <t>Small renovation and maintenance business.</t>
  </si>
  <si>
    <t>"Prevent theft of renovation materials and tools while the vehicle is parked at residential job sites throughout the day."</t>
  </si>
  <si>
    <t>{"token":"305a1c46-ce91-4c05-af80-8d839dafa008","method":"createLead","external_system_uid":"B2C - 9PointPlanWA","external_source_id":"10001","name":"Fox Handyman Services","phone":"0823517198","lead_in_date":"22-March-2026 18:14:31","instance_uid":"793c83c2-f829-464c-ad82-a157cf85bf34","campaign_uid":"af7b2cbb-29a4-446b-b4fd-0199a060d9ad","email":"admin@foxhandyman.co.za","remark_message":"Source: Google - Handyman (requested 2026-03-20) Small renovation and maintenance business.. Motivation: Prevent theft of renovation materials and tools while the vehicle is parked at residential job sites throughout the day.. Context: Specializes in flooring and renovations.","meta":{"additional_partner_field1":"Suburb","additional_partner_field2":"Roodepoort Johannesburg"}}</t>
  </si>
  <si>
    <t>Gumtree - Furniture Removals</t>
  </si>
  <si>
    <t>Shaanmendran (Amanzimtoti Removals)</t>
  </si>
  <si>
    <t>Furniture removals and general transportation.</t>
  </si>
  <si>
    <t>"Operating on the Durban-Johannesburg corridor requires high-tier tracking due to the prevalence of truck hijackings on that route."</t>
  </si>
  <si>
    <t>{"token":"00de7760-7295-423c-a149-403b507b9ab0","method":"createLead","external_system_uid":"B2C - 9PointPlanWA","external_source_id":"10001","name":"Shaanmendran (Amanzimtoti Removals)","phone":"0731419514","lead_in_date":"22-March-2026 18:14:31","instance_uid":"793c83c2-f829-464c-ad82-a157cf85bf34","campaign_uid":"af7b2cbb-29a4-446b-b4fd-0199a060d9ad","email":"N/A","remark_message":"Source: Gumtree - Furniture Removals (requested 2026-03-18) Furniture removals and general transportation.. Motivation: Operating on the Durban-Johannesburg corridor requires high-tier tracking due to the prevalence of truck hijackings on that route.. Context: Equipped with 3.5-ton trailer.","meta":{"additional_partner_field1":"Suburb","additional_partner_field2":"Amanzimtoti Durban"}}</t>
  </si>
  <si>
    <t>Andre (Durban Bakkie Hire)</t>
  </si>
  <si>
    <t>Mini-load transportation and furniture removal.</t>
  </si>
  <si>
    <t>"A tracker allows you to prove to customers exactly where their furniture is at any moment, building trust and professional credibility."</t>
  </si>
  <si>
    <t>{"token":"ed698883-6f2a-497f-af2d-44ddd56a7d40","method":"createLead","external_system_uid":"B2C - 9PointPlanWA","external_source_id":"10001","name":"Andre (Durban Bakkie Hire)","phone":"0614278876","lead_in_date":"22-March-2026 18:14:31","instance_uid":"793c83c2-f829-464c-ad82-a157cf85bf34","campaign_uid":"af7b2cbb-29a4-446b-b4fd-0199a060d9ad","email":"N/A","remark_message":"Source: Gumtree - Bakkie Hire (requested 2026-03-22) Mini-load transportation and furniture removal.. Motivation: A tracker allows you to prove to customers exactly where their furniture is at any moment, building trust and professional credibility.. Context: Inclusive of driver and assistant.","meta":{"additional_partner_field1":"Suburb","additional_partner_field2":"Morningside Durban"}}</t>
  </si>
  <si>
    <t>Gumtree - Transport</t>
  </si>
  <si>
    <t>Lucas (Lucas Removal)</t>
  </si>
  <si>
    <t>Long and short-distance furniture removal.</t>
  </si>
  <si>
    <t>"Maintaining a 4-ton truck fleet requires automated logbooks for tax purposes and maintenance scheduling."</t>
  </si>
  <si>
    <t>{"token":"bc8e6b5b-ce25-4202-991a-5ff033d4aad9","method":"createLead","external_system_uid":"B2C - 9PointPlanWA","external_source_id":"10001","name":"Lucas (Lucas Removal)","phone":"0719135405","lead_in_date":"22-March-2026 18:14:31","instance_uid":"793c83c2-f829-464c-ad82-a157cf85bf34","campaign_uid":"af7b2cbb-29a4-446b-b4fd-0199a060d9ad","email":"N/A","remark_message":"Source: Gumtree - Transport (requested 2026-02-20) Long and short-distance furniture removal.. Motivation: Maintaining a 4-ton truck fleet requires automated logbooks for tax purposes and maintenance scheduling.. Context: Operates out of Midrand.","meta":{"additional_partner_field1":"Suburb","additional_partner_field2":"Midrand Johannesburg"}}</t>
  </si>
  <si>
    <t>Mike (Bakkie Hire South)</t>
  </si>
  <si>
    <t>1-ton bakkie for hire with driver.</t>
  </si>
  <si>
    <t>"Ensuring the bakkie is tracked helps the owner keep tabs on the driver’s route and speed, extending the vehicle's lifespan."</t>
  </si>
  <si>
    <t>{"token":"c7e55456-5563-4586-b008-cbb2a3cb3a38","method":"createLead","external_system_uid":"B2C - 9PointPlanWA","external_source_id":"10001","name":"Mike (Bakkie Hire South)","phone":"0692681461","lead_in_date":"22-March-2026 18:14:31","instance_uid":"793c83c2-f829-464c-ad82-a157cf85bf34","campaign_uid":"af7b2cbb-29a4-446b-b4fd-0199a060d9ad","email":"N/A","remark_message":"Source: Gumtree - Bakkie Hire (requested 2026-03-19) 1-ton bakkie for hire with driver.. Motivation: Ensuring the bakkie is tracked helps the owner keep tabs on the driver’s route and speed, extending the vehicle's lifespan.. Context: Services Queensburgh and surrounding areas.","meta":{"additional_partner_field1":"Suburb","additional_partner_field2":"Queensburgh Durban"}}</t>
  </si>
  <si>
    <t>Action Ads - Handyman</t>
  </si>
  <si>
    <t>Benn (Benn Handyman)</t>
  </si>
  <si>
    <t>Handyman focusing on painting and plumbing maintenance.</t>
  </si>
  <si>
    <t>"Small business vehicles in tourist towns like Knysna are often targeted for parts; a tracker increases recovery chances."</t>
  </si>
  <si>
    <t>{"token":"3fdba9ca-7b2a-4d50-8354-986aa35c335b","method":"createLead","external_system_uid":"B2C - 9PointPlanWA","external_source_id":"10001","name":"Benn (Benn Handyman)","phone":"0780880507","lead_in_date":"22-March-2026 18:14:31","instance_uid":"793c83c2-f829-464c-ad82-a157cf85bf34","campaign_uid":"af7b2cbb-29a4-446b-b4fd-0199a060d9ad","email":"N/A","remark_message":"Source: Action Ads - Handyman (requested 2026-02-04) Handyman focusing on painting and plumbing maintenance.. Motivation: Small business vehicles in tourist towns like Knysna are often targeted for parts; a tracker increases recovery chances.. Context: References available.","meta":{"additional_partner_field1":"Suburb","additional_partner_field2":"Knysna Central Knysna"}}</t>
  </si>
  <si>
    <t>Action Ads - Equipment Hire</t>
  </si>
  <si>
    <t>Mike (Wood Chipper for Hire)</t>
  </si>
  <si>
    <t>Specialized heavy equipment for hire.</t>
  </si>
  <si>
    <t>"Wood chippers are expensive assets that can be easily towed away; an asset tracker is a vital security layer."</t>
  </si>
  <si>
    <t>{"token":"621ec026-9811-4850-8391-0ce2a46043c3","method":"createLead","external_system_uid":"B2C - 9PointPlanWA","external_source_id":"10001","name":"Mike (Wood Chipper for Hire)","phone":"0824452313","lead_in_date":"22-March-2026 18:14:31","instance_uid":"793c83c2-f829-464c-ad82-a157cf85bf34","campaign_uid":"af7b2cbb-29a4-446b-b4fd-0199a060d9ad","email":"N/A","remark_message":"Source: Action Ads - Equipment Hire (requested 2026-02-04) Specialized heavy equipment for hire.. Motivation: Wood chippers are expensive assets that can be easily towed away; an asset tracker is a vital security layer.. Context: Hourly or daily rates.","meta":{"additional_partner_field1":"Suburb","additional_partner_field2":"Leisure Isle Knysna"}}</t>
  </si>
  <si>
    <t>Google - Plumbing</t>
  </si>
  <si>
    <t>Pirate Plumbing</t>
  </si>
  <si>
    <t>Info@pirateplumbing.co.za</t>
  </si>
  <si>
    <t>General and emergency plumbing services.</t>
  </si>
  <si>
    <t>"Emergency call-outs often happen at night in unfamiliar suburbs; a panic-button integrated tracker is essential for driver safety."</t>
  </si>
  <si>
    <t>{"token":"d65832f6-d100-412f-9ae2-2d0a39275605","method":"createLead","external_system_uid":"B2C - 9PointPlanWA","external_source_id":"10001","name":"Pirate Plumbing","phone":"0712460127","lead_in_date":"22-March-2026 18:14:31","instance_uid":"793c83c2-f829-464c-ad82-a157cf85bf34","campaign_uid":"af7b2cbb-29a4-446b-b4fd-0199a060d9ad","email":"Info@pirateplumbing.co.za","remark_message":"Source: Google - Plumbing (requested 2026-03-01) General and emergency plumbing services.. Motivation: Emergency call-outs often happen at night in unfamiliar suburbs; a panic-button integrated tracker is essential for driver safety.. Context: Eco-friendly solutions focus.","meta":{"additional_partner_field1":"Suburb","additional_partner_field2":"Panorama Cape Town"}}</t>
  </si>
  <si>
    <t>HB Plumbing</t>
  </si>
  <si>
    <t>info@hbplumbing.co.za</t>
  </si>
  <si>
    <t>Small plumbing firm providing leak detection.</t>
  </si>
  <si>
    <t>"Vehicle logbooks generated by the tracker simplify SARS tax claims for business-related travel."</t>
  </si>
  <si>
    <t>{"token":"8c14e2ff-bb29-47be-9efc-b5fb8a7c4912","method":"createLead","external_system_uid":"B2C - 9PointPlanWA","external_source_id":"10001","name":"HB Plumbing","phone":"0823338666","lead_in_date":"22-March-2026 18:14:31","instance_uid":"793c83c2-f829-464c-ad82-a157cf85bf34","campaign_uid":"af7b2cbb-29a4-446b-b4fd-0199a060d9ad","email":"info@hbplumbing.co.za","remark_message":"Source: Google - Plumber (requested 2026-03-10) Small plumbing firm providing leak detection.. Motivation: Vehicle logbooks generated by the tracker simplify SARS tax claims for business-related travel.. Context: IOPSA accredited.","meta":{"additional_partner_field1":"Suburb","additional_partner_field2":"Durbanville Cape Town"}}</t>
  </si>
  <si>
    <t>Google - Handyman Service</t>
  </si>
  <si>
    <t>Fixit Maintenance</t>
  </si>
  <si>
    <t>Multi-service handyman offering plumbing and electrical.</t>
  </si>
  <si>
    <t>"As a 'same-day service' provider, tracking helps dispatch the nearest vehicle to the next job, saving fuel and time."</t>
  </si>
  <si>
    <t>{"token":"54e284af-4436-47ca-96e7-94fab4e40e68","method":"createLead","external_system_uid":"B2C - 9PointPlanWA","external_source_id":"10001","name":"Fixit Maintenance","phone":"0824777271","lead_in_date":"22-March-2026 18:14:31","instance_uid":"793c83c2-f829-464c-ad82-a157cf85bf34","campaign_uid":"af7b2cbb-29a4-446b-b4fd-0199a060d9ad","email":"N/A","remark_message":"Source: Google - Handyman Service (requested 2026-03-05) Multi-service handyman offering plumbing and electrical.. Motivation: As a 'same-day service' provider, tracking helps dispatch the nearest vehicle to the next job, saving fuel and time.. Context: Focused on Alberton and Johannesburg South.","meta":{"additional_partner_field1":"Suburb","additional_partner_field2":"Alberton Johannesburg"}}</t>
  </si>
  <si>
    <t>Google - Construction/Maintenance</t>
  </si>
  <si>
    <t>Mantle Projects</t>
  </si>
  <si>
    <t>hello@mantleprojects.co.za</t>
  </si>
  <si>
    <t>Small business specializing in shopfitting and maintenance.</t>
  </si>
  <si>
    <t>"High-value shopfitting materials and tools require 24/7 monitoring when parked in urban construction zones."</t>
  </si>
  <si>
    <t>{"token":"95d5bc2e-dc7f-44c7-9667-72ffb0f43540","method":"createLead","external_system_uid":"B2C - 9PointPlanWA","external_source_id":"10001","name":"Mantle Projects","phone":"0825816218","lead_in_date":"22-March-2026 18:14:31","instance_uid":"793c83c2-f829-464c-ad82-a157cf85bf34","campaign_uid":"af7b2cbb-29a4-446b-b4fd-0199a060d9ad","email":"hello@mantleprojects.co.za","remark_message":"Source: Google - Construction/Maintenance (requested 2026-03-01) Small business specializing in shopfitting and maintenance.. Motivation: High-value shopfitting materials and tools require 24/7 monitoring when parked in urban construction zones.. Context: Offers steel fabrication and electrical solutions.","meta":{"additional_partner_field1":"Suburb","additional_partner_field2":"Alberton North Johannesburg"}}</t>
  </si>
  <si>
    <t>Khulanathi Electrical Contractors</t>
  </si>
  <si>
    <t>info@khulanathielectrical.co.za</t>
  </si>
  <si>
    <t>Master Electrician leading a small team in KZN.</t>
  </si>
  <si>
    <t>"Ensuring master electrician certification standards are met includes having reliable security protocols for company vehicles."</t>
  </si>
  <si>
    <t>{"token":"ff6e9454-927f-4c0b-9941-03b62934db3b","method":"createLead","external_system_uid":"B2C - 9PointPlanWA","external_source_id":"10001","name":"Khulanathi Electrical Contractors","phone":"0827302202","lead_in_date":"22-March-2026 18:14:31","instance_uid":"793c83c2-f829-464c-ad82-a157cf85bf34","campaign_uid":"af7b2cbb-29a4-446b-b4fd-0199a060d9ad","email":"info@khulanathielectrical.co.za","remark_message":"Source: Google - Electrician (requested 2026-03-12) Master Electrician leading a small team in KZN.. Motivation: Ensuring master electrician certification standards are met includes having reliable security protocols for company vehicles.. Context: Serves industrial and domestic clients.","meta":{"additional_partner_field1":"Suburb","additional_partner_field2":"Durban North Durban"}}</t>
  </si>
  <si>
    <t>Laatz Electrical</t>
  </si>
  <si>
    <t>Emergency electrician on call 24/7.</t>
  </si>
  <si>
    <t>"Vehicle security is paramount for contractors working late nights in KwaZulu-Natal’s high-crime areas."</t>
  </si>
  <si>
    <t>{"token":"d897cffa-8915-40e6-b80d-46e77b9bddd3","method":"createLead","external_system_uid":"B2C - 9PointPlanWA","external_source_id":"10001","name":"Laatz Electrical","phone":"0824500435","lead_in_date":"22-March-2026 18:14:31","instance_uid":"793c83c2-f829-464c-ad82-a157cf85bf34","campaign_uid":"af7b2cbb-29a4-446b-b4fd-0199a060d9ad","email":"N/A","remark_message":"Source: Google - Electrician (requested 2026-02-14) Emergency electrician on call 24/7.. Motivation: Vehicle security is paramount for contractors working late nights in KwaZulu-Natal’s high-crime areas.. Context: Specializes in cable fault finding.","meta":{"additional_partner_field1":"Suburb","additional_partner_field2":"Westville Durban"}}</t>
  </si>
  <si>
    <t>Whale Coast Directory - Mobile Car Wash</t>
  </si>
  <si>
    <t>Gideon Steyn (Gideon Mobile Cleaning)</t>
  </si>
  <si>
    <t>gideonsteyn3@gmail.com</t>
  </si>
  <si>
    <t>Mobile car wash operator visiting homes.</t>
  </si>
  <si>
    <t>"A tracker allows you to demonstrate professional arrival times to clients, enhancing the perceived reliability of your mobile service."</t>
  </si>
  <si>
    <t>{"token":"43cc9633-559e-4ce5-bbda-4cbcc1e0044b","method":"createLead","external_system_uid":"B2C - 9PointPlanWA","external_source_id":"10001","name":"Gideon Steyn (Gideon Mobile Cleaning)","phone":"0761369136","lead_in_date":"22-March-2026 18:14:31","instance_uid":"793c83c2-f829-464c-ad82-a157cf85bf34","campaign_uid":"af7b2cbb-29a4-446b-b4fd-0199a060d9ad","email":"gideonsteyn3@gmail.com","remark_message":"Source: Whale Coast Directory - Mobile Car Wash (requested 2026-03-01) Mobile car wash operator visiting homes.. Motivation: A tracker allows you to demonstrate professional arrival times to clients, enhancing the perceived reliability of your mobile service.. Context: Washes cars at home; includes interior detailing.","meta":{"additional_partner_field1":"Suburb","additional_partner_field2":"Kleinmond Hermanus"}}</t>
  </si>
  <si>
    <t>Whale Coast Directory - Cleaning</t>
  </si>
  <si>
    <t>Suzette Marlyn (Team Clean Co)</t>
  </si>
  <si>
    <t>suzettemarlyn@gmail.com</t>
  </si>
  <si>
    <t>Professional management and cleaning for holiday homes.</t>
  </si>
  <si>
    <t>"Tracking ensures that staff traveling between dispersed holiday rentals are safe and accounts for their time spent at each property."</t>
  </si>
  <si>
    <t>{"token":"eb617974-593f-4eb4-9bc3-9e17735a726a","method":"createLead","external_system_uid":"B2C - 9PointPlanWA","external_source_id":"10001","name":"Suzette Marlyn (Team Clean Co)","phone":"0826552265","lead_in_date":"22-March-2026 18:14:31","instance_uid":"793c83c2-f829-464c-ad82-a157cf85bf34","campaign_uid":"af7b2cbb-29a4-446b-b4fd-0199a060d9ad","email":"suzettemarlyn@gmail.com","remark_message":"Source: Whale Coast Directory - Cleaning (requested 2026-03-10) Professional management and cleaning for holiday homes.. Motivation: Tracking ensures that staff traveling between dispersed holiday rentals are safe and accounts for their time spent at each property.. Context: Specializes in deep cleaning and Airbnb management.","meta":{"additional_partner_field1":"Suburb","additional_partner_field2":"Hermanus Overberg"}}</t>
  </si>
  <si>
    <t>Dust-Free Homes</t>
  </si>
  <si>
    <t>dustfreehomes1@gmail.com</t>
  </si>
  <si>
    <t>Residential and business cleaning service.</t>
  </si>
  <si>
    <t>"For a service with teams moving between houses, a tracker ensures that the business owner can monitor the fleet without being on-site."</t>
  </si>
  <si>
    <t>{"token":"2b1f19c9-afec-48d9-97c5-f1c0545f97be","method":"createLead","external_system_uid":"B2C - 9PointPlanWA","external_source_id":"10001","name":"Dust-Free Homes","phone":"0738180664","lead_in_date":"22-March-2026 18:14:31","instance_uid":"793c83c2-f829-464c-ad82-a157cf85bf34","campaign_uid":"af7b2cbb-29a4-446b-b4fd-0199a060d9ad","email":"dustfreehomes1@gmail.com","remark_message":"Source: Whale Coast Directory - Cleaning (requested 2026-02-28) Residential and business cleaning service.. Motivation: For a service with teams moving between houses, a tracker ensures that the business owner can monitor the fleet without being on-site.. Context: Operates in Betty's Bay and Kleinmond.","meta":{"additional_partner_field1":"Suburb","additional_partner_field2":"Betty's Bay Hermanus"}}</t>
  </si>
  <si>
    <t>Whale Coast Directory - Car Wash</t>
  </si>
  <si>
    <t>Mountainside Mobile Car Wash</t>
  </si>
  <si>
    <t>Premium mobile car wash at client doorsteps.</t>
  </si>
  <si>
    <t>"Protecting the vehicle and portable washing machines while working in busy suburbs is a primary security concern."</t>
  </si>
  <si>
    <t>{"token":"62bf7450-1d08-4d79-8e69-2b7612821561","method":"createLead","external_system_uid":"B2C - 9PointPlanWA","external_source_id":"10001","name":"Mountainside Mobile Car Wash","phone":"0699794997","lead_in_date":"22-March-2026 18:14:31","instance_uid":"793c83c2-f829-464c-ad82-a157cf85bf34","campaign_uid":"af7b2cbb-29a4-446b-b4fd-0199a060d9ad","email":"N/A","remark_message":"Source: Whale Coast Directory - Car Wash (requested 2026-03-05) Premium mobile car wash at client doorsteps.. Motivation: Protecting the vehicle and portable washing machines while working in busy suburbs is a primary security concern.. Context: Based in Kleinmond.","meta":{"additional_partner_field1":"Suburb","additional_partner_field2":"Kleinmond Hermanus"}}</t>
  </si>
  <si>
    <t>Government Directory - EC Agriculture</t>
  </si>
  <si>
    <t>Sibusiso Nongwanya</t>
  </si>
  <si>
    <t>Eastern Cape agricultural small business coordinator.</t>
  </si>
  <si>
    <t>"Livestock theft and vehicle loss in the Eastern Cape can be mitigated by installing hidden trackers in agricultural transport units."</t>
  </si>
  <si>
    <t>{"token":"0ae508d2-065f-46d1-a785-14308000eb66","method":"createLead","external_system_uid":"B2C - 9PointPlanWA","external_source_id":"10001","name":"Sibusiso Nongwanya","phone":"0835369119","lead_in_date":"22-March-2026 18:14:31","instance_uid":"793c83c2-f829-464c-ad82-a157cf85bf34","campaign_uid":"af7b2cbb-29a4-446b-b4fd-0199a060d9ad","email":"applications@dalrrd.gov.za","remark_message":"Source: Government Directory - EC Agriculture (requested 2026-01-23) Eastern Cape agricultural small business coordinator.. Motivation: Livestock theft and vehicle loss in the Eastern Cape can be mitigated by installing hidden trackers in agricultural transport units.. Context: Eastern Cape Department of Agriculture contact.","meta":{"additional_partner_field1":"Suburb","additional_partner_field2":"N/A East London"}}</t>
  </si>
  <si>
    <t>Government Directory - Free State Agriculture</t>
  </si>
  <si>
    <t>Petrus Minne</t>
  </si>
  <si>
    <t>Smallholder farmer lead in the Free State.</t>
  </si>
  <si>
    <t>"The vast distances between farms in the Free State make vehicle recovery impossible without a high-quality GPS tracking system."</t>
  </si>
  <si>
    <t>{"token":"7d739bc1-1a63-4631-b5d5-ac5cd28a870e","method":"createLead","external_system_uid":"B2C - 9PointPlanWA","external_source_id":"10001","name":"Petrus Minne","phone":"0828270644","lead_in_date":"22-March-2026 18:14:31","instance_uid":"793c83c2-f829-464c-ad82-a157cf85bf34","campaign_uid":"af7b2cbb-29a4-446b-b4fd-0199a060d9ad","email":"N/A","remark_message":"Source: Government Directory - Free State Agriculture (requested 2026-01-23) Smallholder farmer lead in the Free State.. Motivation: The vast distances between farms in the Free State make vehicle recovery impossible without a high-quality GPS tracking system.. Context: Department of Agriculture contact.","meta":{"additional_partner_field1":"Suburb","additional_partner_field2":"N/A Bloemfontein"}}</t>
  </si>
  <si>
    <t>Government Directory - WC Agriculture</t>
  </si>
  <si>
    <t>Zonwabele Bastile</t>
  </si>
  <si>
    <t>Western Cape small-scale farmer entrepreneur.</t>
  </si>
  <si>
    <t>"Trackers in delivery bakkies help ensure that fresh produce is being transported along the most efficient routes to Cape Town markets."</t>
  </si>
  <si>
    <t>{"token":"49b6d443-a463-4565-a466-e7d6561535f4","method":"createLead","external_system_uid":"B2C - 9PointPlanWA","external_source_id":"10001","name":"Zonwabele Bastile","phone":"0822612790","lead_in_date":"22-March-2026 18:14:31","instance_uid":"793c83c2-f829-464c-ad82-a157cf85bf34","campaign_uid":"af7b2cbb-29a4-446b-b4fd-0199a060d9ad","email":"N/A","remark_message":"Source: Government Directory - WC Agriculture (requested 2026-01-23) Western Cape small-scale farmer entrepreneur.. Motivation: Trackers in delivery bakkies help ensure that fresh produce is being transported along the most efficient routes to Cape Town markets.. Context: Western Cape Department of Agriculture contact.","meta":{"additional_partner_field1":"Suburb","additional_partner_field2":"N/A Cape Town"}}</t>
  </si>
  <si>
    <t>Action Ads - Cleaning Service</t>
  </si>
  <si>
    <t>Mervin (Daybreak Carpet Cleaning)</t>
  </si>
  <si>
    <t>Carpet cleaning business visiting various residential clients.</t>
  </si>
  <si>
    <t>"Cleaning equipment is often left in the vehicle while the owner works inside houses; a tracker helps protect the stationary vehicle."</t>
  </si>
  <si>
    <t>{"token":"5bf686b1-691c-4e7e-89d9-62297acfbdc8","method":"createLead","external_system_uid":"B2C - 9PointPlanWA","external_source_id":"10001","name":"Mervin (Daybreak Carpet Cleaning)","phone":"0742649317","lead_in_date":"22-March-2026 18:14:31","instance_uid":"793c83c2-f829-464c-ad82-a157cf85bf34","campaign_uid":"af7b2cbb-29a4-446b-b4fd-0199a060d9ad","email":"N/A","remark_message":"Source: Action Ads - Cleaning Service (requested 2026-02-04) Carpet cleaning business visiting various residential clients.. Motivation: Cleaning equipment is often left in the vehicle while the owner works inside houses; a tracker helps protect the stationary vehicle.. Context: Offers a professional cleaning service.","meta":{"additional_partner_field1":"Suburb","additional_partner_field2":"Hunters Home Knysna"}}</t>
  </si>
  <si>
    <t>24/7 Plumbers Brooklyn</t>
  </si>
  <si>
    <t>a247fix@hotmail.com</t>
  </si>
  <si>
    <t>High-volume emergency plumbing provider.</t>
  </si>
  <si>
    <t>"Preventing high fuel costs from excessive idling and speeding is a direct benefit of an advanced tracking and fleet management system."</t>
  </si>
  <si>
    <t>{"token":"686d004c-8960-47bf-bd51-9767b4b74bac","method":"createLead","external_system_uid":"B2C - 9PointPlanWA","external_source_id":"10001","name":"24/7 Plumbers Brooklyn","phone":"0712717734","lead_in_date":"22-March-2026 18:14:31","instance_uid":"793c83c2-f829-464c-ad82-a157cf85bf34","campaign_uid":"af7b2cbb-29a4-446b-b4fd-0199a060d9ad","email":"a247fix@hotmail.com","remark_message":"Source: Google - Plumber (requested 2026-03-20) High-volume emergency plumbing provider.. Motivation: Preventing high fuel costs from excessive idling and speeding is a direct benefit of an advanced tracking and fleet management system.. Context: Serves Pretoria East, North, and Centurion.","meta":{"additional_partner_field1":"Suburb","additional_partner_field2":"Brooklyn Pretoria"}}</t>
  </si>
  <si>
    <t>HelloPeter - Stolen Vehicle Story</t>
  </si>
  <si>
    <t>Sifiso (Matrix Client Installation)</t>
  </si>
  <si>
    <t>Small business owner who recently experienced a hijacking incident.</t>
  </si>
  <si>
    <t>"After a traumatic hijacking, immediate recovery is the only way to avoid the devastating financial loss of the business's main asset."</t>
  </si>
  <si>
    <t>{"token":"e7ccaa99-70a8-460f-afce-ce5c615faebf","method":"createLead","external_system_uid":"B2C - 9PointPlanWA","external_source_id":"10001","name":"Sifiso (Matrix Client Installation)","phone":"0824476116","lead_in_date":"22-March-2026 18:14:31","instance_uid":"793c83c2-f829-464c-ad82-a157cf85bf34","campaign_uid":"af7b2cbb-29a4-446b-b4fd-0199a060d9ad","email":"N/A","remark_message":"Source: HelloPeter - Stolen Vehicle Story (requested 2026-03-12) Small business owner who recently experienced a hijacking incident.. Motivation: After a traumatic hijacking, immediate recovery is the only way to avoid the devastating financial loss of the business's main asset.. Context: Mentioned in a review as having a high-risk profile.","meta":{"additional_partner_field1":"Suburb","additional_partner_field2":"Sandton Johannesburg"}}</t>
  </si>
  <si>
    <t>Google - Logistics</t>
  </si>
  <si>
    <t>Skygistics (Excuss Logistics)</t>
  </si>
  <si>
    <t>Small logistics and transport company.</t>
  </si>
  <si>
    <t>"Cargo security is the primary concern for clients hiring bakkies for removals; proof of tracking is a competitive advantage."</t>
  </si>
  <si>
    <t>{"token":"5a761ccc-1308-4f8b-b893-b5c171d9b905","method":"createLead","external_system_uid":"B2C - 9PointPlanWA","external_source_id":"10001","name":"Skygistics (Excuss Logistics)","phone":"0117600000","lead_in_date":"22-March-2026 18:14:31","instance_uid":"793c83c2-f829-464c-ad82-a157cf85bf34","campaign_uid":"af7b2cbb-29a4-446b-b4fd-0199a060d9ad","email":"N/A","remark_message":"Source: Google - Logistics (requested 2026-03-07) Small logistics and transport company.. Motivation: Cargo security is the primary concern for clients hiring bakkies for removals; proof of tracking is a competitive advantage.. Context: Based in Roodepoort.","meta":{"additional_partner_field1":"Suburb","additional_partner_field2":"Roodepoort Johannesburg"}}</t>
  </si>
  <si>
    <t>Google - Solar/Eco Business</t>
  </si>
  <si>
    <t>Stanton Crossman (Out of the GreenBox)</t>
  </si>
  <si>
    <t>Stanton@outthegreenbox.co.za</t>
  </si>
  <si>
    <t>Eco-friendly energy solution provider with mobile installation teams.</t>
  </si>
  <si>
    <t>"Tracking systems allow for better scheduling of solar panel deliveries, which are heavy and sensitive to handle."</t>
  </si>
  <si>
    <t>{"token":"ff87d094-eec8-4cae-8a3c-27de99e2c62e","method":"createLead","external_system_uid":"B2C - 9PointPlanWA","external_source_id":"10001","name":"Stanton Crossman (Out of the GreenBox)","phone":"0832814242","lead_in_date":"22-March-2026 18:14:31","instance_uid":"793c83c2-f829-464c-ad82-a157cf85bf34","campaign_uid":"af7b2cbb-29a4-446b-b4fd-0199a060d9ad","email":"Stanton@outthegreenbox.co.za","remark_message":"Source: Google - Solar/Eco Business (requested 2026-01-16) Eco-friendly energy solution provider with mobile installation teams.. Motivation: Tracking systems allow for better scheduling of solar panel deliveries, which are heavy and sensitive to handle.. Context: Located in East London.","meta":{"additional_partner_field1":"Suburb","additional_partner_field2":"Nahoon East London"}}</t>
  </si>
  <si>
    <t>Craig Powell (Out of the GreenBox)</t>
  </si>
  <si>
    <t>Small business installation manager.</t>
  </si>
  <si>
    <t>"Protect the specialized service vehicles from theft in industrial areas where solar components are often targeted."</t>
  </si>
  <si>
    <t>{"token":"2d1bd9d0-77d7-4c7d-84fa-1dd4cf077e0d","method":"createLead","external_system_uid":"B2C - 9PointPlanWA","external_source_id":"10001","name":"Craig Powell (Out of the GreenBox)","phone":"0823763206","lead_in_date":"22-March-2026 18:14:31","instance_uid":"793c83c2-f829-464c-ad82-a157cf85bf34","campaign_uid":"af7b2cbb-29a4-446b-b4fd-0199a060d9ad","email":"N/A","remark_message":"Source: Google - Solar/Eco Business (requested 2026-01-16) Small business installation manager.. Motivation: Protect the specialized service vehicles from theft in industrial areas where solar components are often targeted.. Context: Port Elizabeth branch contact.","meta":{"additional_partner_field1":"Suburb","additional_partner_field2":"Walmer Gqeberha"}}</t>
  </si>
  <si>
    <t>Google - Consultant</t>
  </si>
  <si>
    <t>Trevor Angus (AIT Consulting)</t>
  </si>
  <si>
    <t>trevor.angus@ait-consulting.co.za</t>
  </si>
  <si>
    <t>Mobile technical consultant frequently traveling between sites.</t>
  </si>
  <si>
    <t>"Frequent travel between industrial sites increases exposure to theft; a discreet tracker is a necessary safety net."</t>
  </si>
  <si>
    <t>{"token":"643984f0-5475-4266-94cd-ca9a5173b4a0","method":"createLead","external_system_uid":"B2C - 9PointPlanWA","external_source_id":"10001","name":"Trevor Angus (AIT Consulting)","phone":"0827748944","lead_in_date":"22-March-2026 18:14:31","instance_uid":"793c83c2-f829-464c-ad82-a157cf85bf34","campaign_uid":"af7b2cbb-29a4-446b-b4fd-0199a060d9ad","email":"trevor.angus@ait-consulting.co.za","remark_message":"Source: Google - Consultant (requested 2026-01-16) Mobile technical consultant frequently traveling between sites.. Motivation: Frequent travel between industrial sites increases exposure to theft; a discreet tracker is a necessary safety net.. Context: Consultant for high-tech energy projects.","meta":{"additional_partner_field1":"Suburb","additional_partner_field2":"Centurion Pretoria"}}</t>
  </si>
  <si>
    <t>Google - Solar Business</t>
  </si>
  <si>
    <t>Nick Vauqulin (Solar Charge Solutions)</t>
  </si>
  <si>
    <t>nick@solarchargesolutions.co.za</t>
  </si>
  <si>
    <t>Small business providing specialized solar charging services.</t>
  </si>
  <si>
    <t>"A tracking unit with 'jamming detection' is vital in South Africa to combat high-tech thieves who target modern solar service vans."</t>
  </si>
  <si>
    <t>{"token":"5a367437-a4cf-4281-9185-035239da14e8","method":"createLead","external_system_uid":"B2C - 9PointPlanWA","external_source_id":"10001","name":"Nick Vauqulin (Solar Charge Solutions)","phone":"0844427844","lead_in_date":"22-March-2026 18:14:31","instance_uid":"793c83c2-f829-464c-ad82-a157cf85bf34","campaign_uid":"af7b2cbb-29a4-446b-b4fd-0199a060d9ad","email":"nick@solarchargesolutions.co.za","remark_message":"Source: Google - Solar Business (requested 2026-01-16) Small business providing specialized solar charging services.. Motivation: A tracking unit with 'jamming detection' is vital in South Africa to combat high-tech thieves who target modern solar service vans.. Context: Active in renewable energy space.","meta":{"additional_partner_field1":"Suburb","additional_partner_field2":"N/A Cape Town"}}</t>
  </si>
  <si>
    <t>Buyer's Guide - Cleaning Supplies</t>
  </si>
  <si>
    <t>MyHygiene (Kya Sands Office)</t>
  </si>
  <si>
    <t>sales@myhygiene.co.za</t>
  </si>
  <si>
    <t>Small business distributing cleaning consumables via delivery vans.</t>
  </si>
  <si>
    <t>"Delivery vans carrying significant stock are high-risk; tracking ensures the stock reaches the client and remains insured."</t>
  </si>
  <si>
    <t>{"token":"0224a27c-83ed-4314-98d1-a9e128f626f7","method":"createLead","external_system_uid":"B2C - 9PointPlanWA","external_source_id":"10001","name":"MyHygiene (Kya Sands Office)","phone":"0715794977","lead_in_date":"22-March-2026 18:14:31","instance_uid":"793c83c2-f829-464c-ad82-a157cf85bf34","campaign_uid":"af7b2cbb-29a4-446b-b4fd-0199a060d9ad","email":"sales@myhygiene.co.za","remark_message":"Source: Buyer's Guide - Cleaning Supplies (requested 2026-01-30) Small business distributing cleaning consumables via delivery vans.. Motivation: Delivery vans carrying significant stock are high-risk; tracking ensures the stock reaches the client and remains insured.. Context: Located in Randburg industrial hub.","meta":{"additional_partner_field1":"Suburb","additional_partner_field2":"Kya Sands Johannesburg"}}</t>
  </si>
  <si>
    <t>Buyer's Guide - Facility Solutions</t>
  </si>
  <si>
    <t>Smart Waste (Irene Office)</t>
  </si>
  <si>
    <t>info@smartwaste.co.za</t>
  </si>
  <si>
    <t>Waste management and facility solution SME.</t>
  </si>
  <si>
    <t>"Manage a fleet of specialized waste collection vehicles and ensure they adhere to strict environmental service level agreements (SLAs)."</t>
  </si>
  <si>
    <t>{"token":"3d6e1a5f-5879-49f6-b61f-481a38de6ca6","method":"createLead","external_system_uid":"B2C - 9PointPlanWA","external_source_id":"10001","name":"Smart Waste (Irene Office)","phone":"0823317200","lead_in_date":"22-March-2026 18:14:31","instance_uid":"793c83c2-f829-464c-ad82-a157cf85bf34","campaign_uid":"af7b2cbb-29a4-446b-b4fd-0199a060d9ad","email":"info@smartwaste.co.za","remark_message":"Source: Buyer's Guide - Facility Solutions (requested 2026-01-30) Waste management and facility solution SME.. Motivation: Manage a fleet of specialized waste collection vehicles and ensure they adhere to strict environmental service level agreements (SLAs).. Context: Serves Pretoria and Gauteng areas.","meta":{"additional_partner_field1":"Suburb","additional_partner_field2":"Irene Pretoria"}}</t>
  </si>
  <si>
    <t>Google - Courier/Jewellery Delivery</t>
  </si>
  <si>
    <t>Oroafrica Order Team</t>
  </si>
  <si>
    <t>orders@oroafrica.com</t>
  </si>
  <si>
    <t>Delivery service for high-value jewellery and items.</t>
  </si>
  <si>
    <t>"Transporting jewellery is extremely high-risk; multiple tracking units and real-time monitoring are non-negotiable for insurance."</t>
  </si>
  <si>
    <t>{"token":"71b19987-4272-43f6-974f-1c2d7ee9a92c","method":"createLead","external_system_uid":"B2C - 9PointPlanWA","external_source_id":"10001","name":"Oroafrica Order Team","phone":"0822279926","lead_in_date":"22-March-2026 18:14:31","instance_uid":"793c83c2-f829-464c-ad82-a157cf85bf34","campaign_uid":"af7b2cbb-29a4-446b-b4fd-0199a060d9ad","email":"orders@oroafrica.com","remark_message":"Source: Google - Courier/Jewellery Delivery (requested 2026-03-14) Delivery service for high-value jewellery and items.. Motivation: Transporting jewellery is extremely high-risk; multiple tracking units and real-time monitoring are non-negotiable for insurance.. Context: Uses interdependent 3rd party couriers frequently.","meta":{"additional_partner_field1":"Suburb","additional_partner_field2":"City Centre Cape Town"}}</t>
  </si>
  <si>
    <t>Ralph (BCN Electrical)</t>
  </si>
  <si>
    <t>Lead technician for a small business electrical crew.</t>
  </si>
  <si>
    <t>"Provide proof of time spent on-site to clients through automated tracker logs to resolve billing disputes quickly."</t>
  </si>
  <si>
    <t>{"token":"f51ec63f-6265-45b3-88d9-5aa67ce5399d","method":"createLead","external_system_uid":"B2C - 9PointPlanWA","external_source_id":"10001","name":"Ralph (BCN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Lead technician for a small business electrical crew.. Motivation: Provide proof of time spent on-site to clients through automated tracker logs to resolve billing disputes quickly.. Context: Focused on residential and commercial maintenance.","meta":{"additional_partner_field1":"Suburb","additional_partner_field2":"La Lucia Durban"}}</t>
  </si>
  <si>
    <t>Google - Solar Solutions</t>
  </si>
  <si>
    <t>Andre Lindenberg (SA Herholdts Group)</t>
  </si>
  <si>
    <t>info@herholdts.co.za</t>
  </si>
  <si>
    <t>Business lead for solar distribution.</t>
  </si>
  <si>
    <t>"Distribution trucks are prone to theft at delivery points; tracking helps secure the vehicle and the valuable inventory."</t>
  </si>
  <si>
    <t>{"token":"175311c8-3b36-4962-ae6f-bdcd94288d1e","method":"createLead","external_system_uid":"B2C - 9PointPlanWA","external_source_id":"10001","name":"Andre Lindenberg (SA Herholdts Group)","phone":"0416300350","lead_in_date":"22-March-2026 18:14:31","instance_uid":"793c83c2-f829-464c-ad82-a157cf85bf34","campaign_uid":"af7b2cbb-29a4-446b-b4fd-0199a060d9ad","email":"info@herholdts.co.za","remark_message":"Source: Google - Solar Solutions (requested 2026-01-16) Business lead for solar distribution.. Motivation: Distribution trucks are prone to theft at delivery points; tracking helps secure the vehicle and the valuable inventory.. Context: Port Elizabeth based.","meta":{"additional_partner_field1":"Suburb","additional_partner_field2":"Sidwell Gqeberha"}}</t>
  </si>
  <si>
    <t>Tshwane Tender - Service Provider</t>
  </si>
  <si>
    <t>Jeanett Mashao (Tshwane Housing Support)</t>
  </si>
  <si>
    <t>jeanettemab@tshwane.gov.za</t>
  </si>
  <si>
    <t>SME providing water meter installations to the city.</t>
  </si>
  <si>
    <t>"Council contractors must often provide GPS proof of work locations to get paid; a tracker automates this reporting requirement."</t>
  </si>
  <si>
    <t>{"token":"f34e4d3e-ab19-4512-862e-7c8044673d74","method":"createLead","external_system_uid":"B2C - 9PointPlanWA","external_source_id":"10001","name":"Jeanett Mashao (Tshwane Housing Support)","phone":"0659687954","lead_in_date":"22-March-2026 18:14:31","instance_uid":"793c83c2-f829-464c-ad82-a157cf85bf34","campaign_uid":"af7b2cbb-29a4-446b-b4fd-0199a060d9ad","email":"jeanettemab@tshwane.gov.za","remark_message":"Source: Tshwane Tender - Service Provider (requested 2026-03-19) SME providing water meter installations to the city.. Motivation: Council contractors must often provide GPS proof of work locations to get paid; a tracker automates this reporting requirement.. Context: Small business artisan lead.","meta":{"additional_partner_field1":"Suburb","additional_partner_field2":"Pretoria Central Pretoria"}}</t>
  </si>
  <si>
    <t>Tshwane Tender - Plumbing SME</t>
  </si>
  <si>
    <t>Mr M. Mbambo (Housing Company Tshwane)</t>
  </si>
  <si>
    <t>Qualified artisan (plumber) providing service to municipalities.</t>
  </si>
  <si>
    <t>"Small contractors working in township areas like Townlands need tracking for both recovery and crew safety monitoring."</t>
  </si>
  <si>
    <t>{"token":"2c90e39a-47ee-4377-b499-2b96bfb71058","method":"createLead","external_system_uid":"B2C - 9PointPlanWA","external_source_id":"10001","name":"Mr M. Mbambo (Housing Company Tshwane)","phone":"0828579495","lead_in_date":"22-March-2026 18:14:31","instance_uid":"793c83c2-f829-464c-ad82-a157cf85bf34","campaign_uid":"af7b2cbb-29a4-446b-b4fd-0199a060d9ad","email":"N/A","remark_message":"Source: Tshwane Tender - Plumbing SME (requested 2026-03-19) Qualified artisan (plumber) providing service to municipalities.. Motivation: Small contractors working in township areas like Townlands need tracking for both recovery and crew safety monitoring.. Context: Provision of water meter services.","meta":{"additional_partner_field1":"Suburb","additional_partner_field2":"Townlands Pretoria"}}</t>
  </si>
  <si>
    <t>Tender Notice - Security/SME</t>
  </si>
  <si>
    <t>N. Dinwayo (Ntabankulu Local Municipality)</t>
  </si>
  <si>
    <t>dinwayon@ntabankulu.gov.za</t>
  </si>
  <si>
    <t>Small business providing security services to local government.</t>
  </si>
  <si>
    <t>"Patrol vehicles must be tracked to verify that patrol routes are being completed according to contract specifications."</t>
  </si>
  <si>
    <t>{"token":"4fbbfc4f-216c-439a-a9b9-52c5a5dacc9d","method":"createLead","external_system_uid":"B2C - 9PointPlanWA","external_source_id":"10001","name":"N. Dinwayo (Ntabankulu Local Municipality)","phone":"0827889641","lead_in_date":"22-March-2026 18:14:31","instance_uid":"793c83c2-f829-464c-ad82-a157cf85bf34","campaign_uid":"af7b2cbb-29a4-446b-b4fd-0199a060d9ad","email":"dinwayon@ntabankulu.gov.za","remark_message":"Source: Tender Notice - Security/SME (requested 2025-12-15) Small business providing security services to local government.. Motivation: Patrol vehicles must be tracked to verify that patrol routes are being completed according to contract specifications.. Context: Security services provision.","meta":{"additional_partner_field1":"Suburb","additional_partner_field2":"Erf 85 Main St Ntabankulu"}}</t>
  </si>
  <si>
    <t>Bid Document - Security Service Provider</t>
  </si>
  <si>
    <t>Betty (SACAA Security Support)</t>
  </si>
  <si>
    <t>Small business owner of a physical security firm.</t>
  </si>
  <si>
    <t>"Security service providers in high-value zones like Centurion business parks require tracking to coordinate rapid response."</t>
  </si>
  <si>
    <t>{"token":"459b7db1-1e67-4171-ada4-2b690ddacd5d","method":"createLead","external_system_uid":"B2C - 9PointPlanWA","external_source_id":"10001","name":"Betty (SACAA Security Support)","phone":"0828854270","lead_in_date":"22-March-2026 18:14:31","instance_uid":"793c83c2-f829-464c-ad82-a157cf85bf34","campaign_uid":"af7b2cbb-29a4-446b-b4fd-0199a060d9ad","email":"N/A","remark_message":"Source: Bid Document - Security Service Provider (requested 2025-07-18) Small business owner of a physical security firm.. Motivation: Security service providers in high-value zones like Centurion business parks require tracking to coordinate rapid response.. Context: Tender for SACAA Head Office.","meta":{"additional_partner_field1":"Suburb","additional_partner_field2":"Centurion Pretoria"}}</t>
  </si>
  <si>
    <t>Sam (SACAA Security Support)</t>
  </si>
  <si>
    <t>Director of a small security service firm.</t>
  </si>
  <si>
    <t>"Mandatory public liability insurance for security firms often requires that all operational vehicles be fitted with approved trackers."</t>
  </si>
  <si>
    <t>{"token":"f5d26d29-65f1-4a4e-be08-74357f5c926d","method":"createLead","external_system_uid":"B2C - 9PointPlanWA","external_source_id":"10001","name":"Sam (SACAA Security Support)","phone":"0714735462","lead_in_date":"22-March-2026 18:14:31","instance_uid":"793c83c2-f829-464c-ad82-a157cf85bf34","campaign_uid":"af7b2cbb-29a4-446b-b4fd-0199a060d9ad","email":"N/A","remark_message":"Source: Bid Document - Security Service Provider (requested 2025-07-18) Director of a small security service firm.. Motivation: Mandatory public liability insurance for security firms often requires that all operational vehicles be fitted with approved trackers.. Context: Security tender for high-profile client.","meta":{"additional_partner_field1":"Suburb","additional_partner_field2":"Centurion Pretoria"}}</t>
  </si>
  <si>
    <t>Security Services Blog - Post Orders</t>
  </si>
  <si>
    <t>Sarah Nkosi (Estate Manager/Small Biz)</t>
  </si>
  <si>
    <t>Lead for a small property management business.</t>
  </si>
  <si>
    <t>"Estate managers need to track their onsite service vehicles to ensure maintenance tasks are on schedule."</t>
  </si>
  <si>
    <t>{"token":"1a87fa09-de25-4380-8f24-ee033695de8f","method":"createLead","external_system_uid":"B2C - 9PointPlanWA","external_source_id":"10001","name":"Sarah Nkosi (Estate Manager/Small Biz)","phone":"0825551234","lead_in_date":"22-March-2026 18:14:31","instance_uid":"793c83c2-f829-464c-ad82-a157cf85bf34","campaign_uid":"af7b2cbb-29a4-446b-b4fd-0199a060d9ad","email":"N/A","remark_message":"Source: Security Services Blog - Post Orders (requested 2025-10-17) Lead for a small property management business.. Motivation: Estate managers need to track their onsite service vehicles to ensure maintenance tasks are on schedule.. Context: Contact for after-hours estate emergencies.","meta":{"additional_partner_field1":"Suburb","additional_partner_field2":"Midrand Johannesburg"}}</t>
  </si>
  <si>
    <t>Specialised Security Services - WhatsApp Channel</t>
  </si>
  <si>
    <t>Mike Bolhuis (Daily Projects)</t>
  </si>
  <si>
    <t>Security consultant investigating crime trends for small businesses.</t>
  </si>
  <si>
    <t>"With South Africa facing a 'crime epidemic' in 2026, specialized asset tracking is the first line of defense for business survival."</t>
  </si>
  <si>
    <t>{"token":"5be86d34-9713-4443-a8e1-bbbffd6cb126","method":"createLead","external_system_uid":"B2C - 9PointPlanWA","external_source_id":"10001","name":"Mike Bolhuis (Daily Projects)","phone":"0824476116","lead_in_date":"22-March-2026 18:14:31","instance_uid":"793c83c2-f829-464c-ad82-a157cf85bf34","campaign_uid":"af7b2cbb-29a4-446b-b4fd-0199a060d9ad","email":"N/A","remark_message":"Source: Specialised Security Services - WhatsApp Channel (requested 2026-01-08) Security consultant investigating crime trends for small businesses.. Motivation: With South Africa facing a 'crime epidemic' in 2026, specialized asset tracking is the first line of defense for business survival.. Context: High-profile security professional advising SMEs.","meta":{"additional_partner_field1":"Suburb","additional_partner_field2":"Sandton Johannesburg"}}</t>
  </si>
  <si>
    <t>Government Circular - Public Service</t>
  </si>
  <si>
    <t>Christiana Labour Centre (T. Tegele)</t>
  </si>
  <si>
    <t>Small business liaison officer for labour centres.</t>
  </si>
  <si>
    <t>"Protect government-liaison vehicles used for regional outreach to small businesses and labour compliance checks."</t>
  </si>
  <si>
    <t>{"token":"ffb8fd74-c09e-4072-9624-828a8bbe4d74","method":"createLead","external_system_uid":"B2C - 9PointPlanWA","external_source_id":"10001","name":"Christiana Labour Centre (T. Tegele)","phone":"0825239489","lead_in_date":"22-March-2026 18:14:31","instance_uid":"793c83c2-f829-464c-ad82-a157cf85bf34","campaign_uid":"af7b2cbb-29a4-446b-b4fd-0199a060d9ad","email":"N/A","remark_message":"Source: Government Circular - Public Service (requested 2026-01-23) Small business liaison officer for labour centres.. Motivation: Protect government-liaison vehicles used for regional outreach to small businesses and labour compliance checks.. Context: Contact for Klerksdorp area.","meta":{"additional_partner_field1":"Suburb","additional_partner_field2":"N/A Klerksdorp"}}</t>
  </si>
  <si>
    <t>Potchefstroom Labour Centre (D. Moshodi)</t>
  </si>
  <si>
    <t>Contact for business-related outreach.</t>
  </si>
  <si>
    <t>"Regional travel in the North West province is high-risk for hijacking; a tracker is essential for officer safety."</t>
  </si>
  <si>
    <t>{"token":"56536467-8f5b-4598-bb42-d57fbfecc95c","method":"createLead","external_system_uid":"B2C - 9PointPlanWA","external_source_id":"10001","name":"Potchefstroom Labour Centre (D. Moshodi)","phone":"0824999382","lead_in_date":"22-March-2026 18:14:31","instance_uid":"793c83c2-f829-464c-ad82-a157cf85bf34","campaign_uid":"af7b2cbb-29a4-446b-b4fd-0199a060d9ad","email":"N/A","remark_message":"Source: Government Circular - Public Service (requested 2026-01-23) Contact for business-related outreach.. Motivation: Regional travel in the North West province is high-risk for hijacking; a tracker is essential for officer safety.. Context: Public service vacancy contact.","meta":{"additional_partner_field1":"Suburb","additional_partner_field2":"N/A Potchefstroom"}}</t>
  </si>
  <si>
    <t>Rustenburg Labour Centre (BC Dirane)</t>
  </si>
  <si>
    <t>Contact for mining-sector small business support.</t>
  </si>
  <si>
    <t>"Vehicles operating around mining sites in Rustenburg require 24/7 tracking due to high incidents of theft for vehicle parts."</t>
  </si>
  <si>
    <t>{"token":"0d0d4f6f-ab14-4178-97ba-af20facfeab1","method":"createLead","external_system_uid":"B2C - 9PointPlanWA","external_source_id":"10001","name":"Rustenburg Labour Centre (BC Dirane)","phone":"0728807919","lead_in_date":"22-March-2026 18:14:31","instance_uid":"793c83c2-f829-464c-ad82-a157cf85bf34","campaign_uid":"af7b2cbb-29a4-446b-b4fd-0199a060d9ad","email":"N/A","remark_message":"Source: Government Circular - Public Service (requested 2026-01-23) Contact for mining-sector small business support.. Motivation: Vehicles operating around mining sites in Rustenburg require 24/7 tracking due to high incidents of theft for vehicle parts.. Context: Rustenburg area contact.","meta":{"additional_partner_field1":"Suburb","additional_partner_field2":"N/A Rustenburg"}}</t>
  </si>
  <si>
    <t>Mogwase Labour Centre (BT Molefe)</t>
  </si>
  <si>
    <t>Liaison for small rural enterprises.</t>
  </si>
  <si>
    <t>"Rural businesses rely on their transport to connect to urban hubs; tracking provides the security needed for these long trips."</t>
  </si>
  <si>
    <t>{"token":"708de206-5a9a-4bd5-b3e7-58ee1fd946d1","method":"createLead","external_system_uid":"B2C - 9PointPlanWA","external_source_id":"10001","name":"Mogwase Labour Centre (BT Molefe)","phone":"0829081983","lead_in_date":"22-March-2026 18:14:31","instance_uid":"793c83c2-f829-464c-ad82-a157cf85bf34","campaign_uid":"af7b2cbb-29a4-446b-b4fd-0199a060d9ad","email":"N/A","remark_message":"Source: Government Circular - Public Service (requested 2026-01-23) Liaison for small rural enterprises.. Motivation: Rural businesses rely on their transport to connect to urban hubs; tracking provides the security needed for these long trips.. Context: Mogwase area contact.","meta":{"additional_partner_field1":"Suburb","additional_partner_field2":"N/A Mogwase"}}</t>
  </si>
  <si>
    <t>Government Circular - Security</t>
  </si>
  <si>
    <t>DPCI: Gauteng (Colonel Mashakane)</t>
  </si>
  <si>
    <t>Law enforcement lead advising on business security.</t>
  </si>
  <si>
    <t>"High-risk Gauteng-based vehicles are the primary target for organized crime rings; advanced tracking is a critical deterrent."</t>
  </si>
  <si>
    <t>{"token":"1252f701-59f1-4c04-a590-07dbb6eafe8b","method":"createLead","external_system_uid":"B2C - 9PointPlanWA","external_source_id":"10001","name":"DPCI: Gauteng (Colonel Mashakane)","phone":"0823350409","lead_in_date":"22-March-2026 18:14:31","instance_uid":"793c83c2-f829-464c-ad82-a157cf85bf34","campaign_uid":"af7b2cbb-29a4-446b-b4fd-0199a060d9ad","email":"N/A","remark_message":"Source: Government Circular - Security (requested 2026-01-23) Law enforcement lead advising on business security.. Motivation: High-risk Gauteng-based vehicles are the primary target for organized crime rings; advanced tracking is a critical deterrent.. Context: DPCI Gauteng contact.","meta":{"additional_partner_field1":"Suburb","additional_partner_field2":"N/A Johannesburg"}}</t>
  </si>
  <si>
    <t>DPCI: Limpopo (Captain Machete)</t>
  </si>
  <si>
    <t>Regional security coordinator.</t>
  </si>
  <si>
    <t>"Limpopo businesses face cross-border theft risks; a tracker with international roaming and alert features is vital."</t>
  </si>
  <si>
    <t>{"token":"94b00b74-b337-4226-9d10-9a33b3c76a63","method":"createLead","external_system_uid":"B2C - 9PointPlanWA","external_source_id":"10001","name":"DPCI: Limpopo (Captain Machete)","phone":"0825804681","lead_in_date":"22-March-2026 18:14:31","instance_uid":"793c83c2-f829-464c-ad82-a157cf85bf34","campaign_uid":"af7b2cbb-29a4-446b-b4fd-0199a060d9ad","email":"N/A","remark_message":"Source: Government Circular - Security (requested 2026-01-23) Regional security coordinator.. Motivation: Limpopo businesses face cross-border theft risks; a tracker with international roaming and alert features is vital.. Context: DPCI Limpopo contact.","meta":{"additional_partner_field1":"Suburb","additional_partner_field2":"N/A Polokwane"}}</t>
  </si>
  <si>
    <t>Facebook - Handyman Service</t>
  </si>
  <si>
    <t>Ace Handyman Johannesburg South</t>
  </si>
  <si>
    <t>Small business providing maintenance and carpentry.</t>
  </si>
  <si>
    <t>"As a small business, your bakkie is your office; protect it to ensure you never miss a day of work."</t>
  </si>
  <si>
    <t>{"token":"58fa507f-6019-4d3a-8f1e-5c2ca19f3bbf","method":"createLead","external_system_uid":"B2C - 9PointPlanWA","external_source_id":"10001","name":"Ace Handyman Johannesburg South","phone":"0829512386","lead_in_date":"22-March-2026 18:14:31","instance_uid":"793c83c2-f829-464c-ad82-a157cf85bf34","campaign_uid":"af7b2cbb-29a4-446b-b4fd-0199a060d9ad","email":"N/A","remark_message":"Source: Facebook - Handyman Service (requested 2026-03-05) Small business providing maintenance and carpentry.. Motivation: As a small business, your bakkie is your office; protect it to ensure you never miss a day of work.. Context: Active in Alberton and JHB South.","meta":{"additional_partner_field1":"Suburb","additional_partner_field2":"Alberton Johannesburg"}}</t>
  </si>
  <si>
    <t>Facebook - Local Services</t>
  </si>
  <si>
    <t>Fix-It-Maintenance (Same Day)</t>
  </si>
  <si>
    <t>Mobile plumbing and electrical technician.</t>
  </si>
  <si>
    <t>"Same-day service providers rely on real-time traffic data; a tracker provides this while securing the vehicle."</t>
  </si>
  <si>
    <t>{"token":"fb02b901-a3d4-4cf8-95ed-75d2fcef0022","method":"createLead","external_system_uid":"B2C - 9PointPlanWA","external_source_id":"10001","name":"Fix-It-Maintenance (Same Day)","phone":"0824777271","lead_in_date":"22-March-2026 18:14:31","instance_uid":"793c83c2-f829-464c-ad82-a157cf85bf34","campaign_uid":"af7b2cbb-29a4-446b-b4fd-0199a060d9ad","email":"N/A","remark_message":"Source: Facebook - Local Services (requested 2026-03-05) Mobile plumbing and electrical technician.. Motivation: Same-day service providers rely on real-time traffic data; a tracker provides this while securing the vehicle.. Context: Based in Alberton North.","meta":{"additional_partner_field1":"Suburb","additional_partner_field2":"Alberton North Johannesburg"}}</t>
  </si>
  <si>
    <t>Google - Landscaper</t>
  </si>
  <si>
    <t>Gill (Gill Cooper Gardens)</t>
  </si>
  <si>
    <t>Small landscaping team with high mobility.</t>
  </si>
  <si>
    <t>"Ensure that garden waste removal trips are handled efficiently and that the vehicle is safe in various Johannesburg suburbs."</t>
  </si>
  <si>
    <t>{"token":"96d6d8ec-009a-44e2-9009-7100d938a55f","method":"createLead","external_system_uid":"B2C - 9PointPlanWA","external_source_id":"10001","name":"Gill (Gill Cooper Gardens)","phone":"0825620724","lead_in_date":"22-March-2026 18:14:31","instance_uid":"793c83c2-f829-464c-ad82-a157cf85bf34","campaign_uid":"af7b2cbb-29a4-446b-b4fd-0199a060d9ad","email":"Gill@gillcoopergardens.co.za","remark_message":"Source: Google - Landscaper (requested 2026-01-22) Small landscaping team with high mobility.. Motivation: Ensure that garden waste removal trips are handled efficiently and that the vehicle is safe in various Johannesburg suburbs.. Context: Over 5 years of operation in JHB.","meta":{"additional_partner_field1":"Suburb","additional_partner_field2":"Sandton Johannesburg"}}</t>
  </si>
  <si>
    <t>Google - Garden Services</t>
  </si>
  <si>
    <t>We Clean It All Gardening</t>
  </si>
  <si>
    <t>wecleanitall@gmail.com</t>
  </si>
  <si>
    <t>Service provider to complexes and estates.</t>
  </si>
  <si>
    <t>"Estate managers often mandate that all sub-contractor vehicles have trackers to monitor movement within private property."</t>
  </si>
  <si>
    <t>{"token":"6a7e73be-9617-48e9-ac0c-d59aa5c0e47d","method":"createLead","external_system_uid":"B2C - 9PointPlanWA","external_source_id":"10001","name":"We Clean It All Gardening","phone":"0828661660","lead_in_date":"22-March-2026 18:14:31","instance_uid":"793c83c2-f829-464c-ad82-a157cf85bf34","campaign_uid":"af7b2cbb-29a4-446b-b4fd-0199a060d9ad","email":"wecleanitall@gmail.com","remark_message":"Source: Google - Garden Services (requested 2026-01-30) Service provider to complexes and estates.. Motivation: Estate managers often mandate that all sub-contractor vehicles have trackers to monitor movement within private property.. Context: Residential and commercial cleaning services.","meta":{"additional_partner_field1":"Suburb","additional_partner_field2":"Randburg Johannesburg"}}</t>
  </si>
  <si>
    <t>Testimonial - B4 Electrical</t>
  </si>
  <si>
    <t>Ryno Herbst (Contractor/Lead)</t>
  </si>
  <si>
    <t>Independent contractor using mobile electrical services.</t>
  </si>
  <si>
    <t>"As a contractor moving between multiple sites, the risk of vehicle theft is constant; a tracking system provides 24/7 security."</t>
  </si>
  <si>
    <t>{"token":"c5f4c35e-2690-4e74-99c0-15554985b59d","method":"createLead","external_system_uid":"B2C - 9PointPlanWA","external_source_id":"10001","name":"Ryno Herbst (Contractor/Lead)","phone":"0834520635","lead_in_date":"22-March-2026 18:14:31","instance_uid":"793c83c2-f829-464c-ad82-a157cf85bf34","campaign_uid":"af7b2cbb-29a4-446b-b4fd-0199a060d9ad","email":"N/A","remark_message":"Source: Testimonial - B4 Electrical (requested 2026-02-28) Independent contractor using mobile electrical services.. Motivation: As a contractor moving between multiple sites, the risk of vehicle theft is constant; a tracking system provides 24/7 security.. Context: Works closely with B4 Electrical on projects.","meta":{"additional_partner_field1":"Suburb","additional_partner_field2":"N/A Johannesburg"}}</t>
  </si>
  <si>
    <t>Testimonial - Laatz Electrical</t>
  </si>
  <si>
    <t>Bernad Lagesse (HBR Projects)</t>
  </si>
  <si>
    <t>Construction and project manager SME.</t>
  </si>
  <si>
    <t>"Large-scale electrical projects require secure logistics; tracking ensure assets are on-site and accounted for."</t>
  </si>
  <si>
    <t>{"token":"576e7926-f333-4033-8799-277d46623b19","method":"createLead","external_system_uid":"B2C - 9PointPlanWA","external_source_id":"10001","name":"Bernad Lagesse (HBR Projects)","phone":"0824500435","lead_in_date":"22-March-2026 18:14:31","instance_uid":"793c83c2-f829-464c-ad82-a157cf85bf34","campaign_uid":"af7b2cbb-29a4-446b-b4fd-0199a060d9ad","email":"N/A","remark_message":"Source: Testimonial - Laatz Electrical (requested 2026-02-14) Construction and project manager SME.. Motivation: Large-scale electrical projects require secure logistics; tracking ensure assets are on-site and accounted for.. Context: High-quality electrical contractor partner.","meta":{"additional_partner_field1":"Suburb","additional_partner_field2":"Durban North Durban"}}</t>
  </si>
  <si>
    <t>Keynote Address - Green Economy</t>
  </si>
  <si>
    <t>Kagiso Letsebe (Media/SME Lead)</t>
  </si>
  <si>
    <t>kletsebe@dffe.gov.za</t>
  </si>
  <si>
    <t>Advocate for e-cargo bikes and small green logistics.</t>
  </si>
  <si>
    <t>"E-cargo bikes for short-distance deliveries are prime targets for theft; small assets need specialized tracking units."</t>
  </si>
  <si>
    <t>{"token":"baf4616c-ca61-4325-b2c6-9525c627722e","method":"createLead","external_system_uid":"B2C - 9PointPlanWA","external_source_id":"10001","name":"Kagiso Letsebe (Media/SME Lead)","phone":"0834299755","lead_in_date":"22-March-2026 18:14:31","instance_uid":"793c83c2-f829-464c-ad82-a157cf85bf34","campaign_uid":"af7b2cbb-29a4-446b-b4fd-0199a060d9ad","email":"kletsebe@dffe.gov.za","remark_message":"Source: Keynote Address - Green Economy (requested 2026-03-02) Advocate for e-cargo bikes and small green logistics.. Motivation: E-cargo bikes for short-distance deliveries are prime targets for theft; small assets need specialized tracking units.. Context: Focused on sustainable transport for small business.","meta":{"additional_partner_field1":"Suburb","additional_partner_field2":"N/A Pretoria"}}</t>
  </si>
  <si>
    <t>Government News - E-hailing</t>
  </si>
  <si>
    <t>Muneera Allie (Mobility Department)</t>
  </si>
  <si>
    <t>Muneera.Allie@westerncape.gov.za</t>
  </si>
  <si>
    <t>Government contact for e-hailing taxi services.</t>
  </si>
  <si>
    <t>"New e-hailing license applicants must demonstrate their vehicles meet safety standards, which includes tracking and insurance."</t>
  </si>
  <si>
    <t>{"token":"40ec3459-a220-412d-9e54-ab3e7b5812d8","method":"createLead","external_system_uid":"B2C - 9PointPlanWA","external_source_id":"10001","name":"Muneera Allie (Mobility Department)","phone":"0837553213","lead_in_date":"22-March-2026 18:14:31","instance_uid":"793c83c2-f829-464c-ad82-a157cf85bf34","campaign_uid":"af7b2cbb-29a4-446b-b4fd-0199a060d9ad","email":"Muneera.Allie@westerncape.gov.za","remark_message":"Source: Government News - E-hailing (requested 2025-06-25) Government contact for e-hailing taxi services.. Motivation: New e-hailing license applicants must demonstrate their vehicles meet safety standards, which includes tracking and insurance.. Context: Head of Communication for Mobility.","meta":{"additional_partner_field1":"Suburb","additional_partner_field2":"N/A Cape Town"}}</t>
  </si>
  <si>
    <t>Government News - Bolt Driver Attack</t>
  </si>
  <si>
    <t>Ndabezinhle Sibiya (Transport Spokesperson)</t>
  </si>
  <si>
    <t>Liaison for e-hailing regulations and safety.</t>
  </si>
  <si>
    <t>"E-hailing drivers face extortion and physical threats; a tracker with an SOS feature can save lives and vehicles."</t>
  </si>
  <si>
    <t>{"token":"26612dca-8d8b-45af-a204-ba669f1524dc","method":"createLead","external_system_uid":"B2C - 9PointPlanWA","external_source_id":"10001","name":"Ndabezinhle Sibiya (Transport Spokesperson)","phone":"0823754742","lead_in_date":"22-March-2026 18:14:31","instance_uid":"793c83c2-f829-464c-ad82-a157cf85bf34","campaign_uid":"af7b2cbb-29a4-446b-b4fd-0199a060d9ad","email":"N/A","remark_message":"Source: Government News - Bolt Driver Attack (requested 2026-02-14) Liaison for e-hailing regulations and safety.. Motivation: E-hailing drivers face extortion and physical threats; a tracker with an SOS feature can save lives and vehicles.. Context: Spokesperson for MEC of Transport in KZN.","meta":{"additional_partner_field1":"Suburb","additional_partner_field2":"Phoenix Durban"}}</t>
  </si>
  <si>
    <t>News - Bolt Driver Hijacking</t>
  </si>
  <si>
    <t>KZN e-Hailing Council Chairperson</t>
  </si>
  <si>
    <t>Representative for e-hailing drivers in KwaZulu-Natal.</t>
  </si>
  <si>
    <t>"The recent assault and hijacking of a Bolt driver in Phoenix underscores the desperate need for tracking and rapid response."</t>
  </si>
  <si>
    <t>{"token":"880fbaca-68e2-48b9-8b14-606455f2f382","method":"createLead","external_system_uid":"B2C - 9PointPlanWA","external_source_id":"10001","name":"KZN e-Hailing Council Chairperson","phone":"0823754742","lead_in_date":"22-March-2026 18:14:31","instance_uid":"793c83c2-f829-464c-ad82-a157cf85bf34","campaign_uid":"af7b2cbb-29a4-446b-b4fd-0199a060d9ad","email":"N/A","remark_message":"Source: News - Bolt Driver Hijacking (requested 2026-02-14) Representative for e-hailing drivers in KwaZulu-Natal.. Motivation: The recent assault and hijacking of a Bolt driver in Phoenix underscores the desperate need for tracking and rapid response.. Context: Leading the response for driver safety in Phoenix.","meta":{"additional_partner_field1":"Suburb","additional_partner_field2":"Phoenix Durban"}}</t>
  </si>
  <si>
    <t>Uber Partner Page - Rentals</t>
  </si>
  <si>
    <t>Pace Car Rental (Uber Partner)</t>
  </si>
  <si>
    <t>Service provider for existing Uber driver-partners.</t>
  </si>
  <si>
    <t>"Rent-to-buy vehicles must have trackers to protect the investment of both the rental company and the aspiring owner."</t>
  </si>
  <si>
    <t>{"token":"0188696a-65ed-4bc0-8d48-11b04df1ee02","method":"createLead","external_system_uid":"B2C - 9PointPlanWA","external_source_id":"10001","name":"Pace Car Rental (Uber Partner)","phone":"0828288638","lead_in_date":"22-March-2026 18:14:31","instance_uid":"793c83c2-f829-464c-ad82-a157cf85bf34","campaign_uid":"af7b2cbb-29a4-446b-b4fd-0199a060d9ad","email":"N/A","remark_message":"Source: Uber Partner Page - Rentals (requested 2026-03-22) Service provider for existing Uber driver-partners.. Motivation: Rent-to-buy vehicles must have trackers to protect the investment of both the rental company and the aspiring owner.. Context: Johannesburg and Cape Town coverage.","meta":{"additional_partner_field1":"Suburb","additional_partner_field2":"N/A Johannesburg"}}</t>
  </si>
  <si>
    <t>Uber Partner Page - FlexClub</t>
  </si>
  <si>
    <t>FlexClub (Drive-To-Buy)</t>
  </si>
  <si>
    <t>Vehicle ownership platform for e-hailing drivers.</t>
  </si>
  <si>
    <t>"Comprehensive insurance and tracking are included in fees, but drivers need independent tracking for dual-purpose vehicle usage."</t>
  </si>
  <si>
    <t>{"token":"0be66d23-6e9b-4c1d-8c0f-89c818c95ad5","method":"createLead","external_system_uid":"B2C - 9PointPlanWA","external_source_id":"10001","name":"FlexClub (Drive-To-Buy)","phone":"0828288638","lead_in_date":"22-March-2026 18:14:31","instance_uid":"793c83c2-f829-464c-ad82-a157cf85bf34","campaign_uid":"af7b2cbb-29a4-446b-b4fd-0199a060d9ad","email":"N/A","remark_message":"Source: Uber Partner Page - FlexClub (requested 2026-03-22) Vehicle ownership platform for e-hailing drivers.. Motivation: Comprehensive insurance and tracking are included in fees, but drivers need independent tracking for dual-purpose vehicle usage.. Context: Offers personalized pricing for drivers.","meta":{"additional_partner_field1":"Suburb","additional_partner_field2":"N/A Cape Town"}}</t>
  </si>
  <si>
    <t>Syabonga (Eastern Pretoria Bakkie Hire)</t>
  </si>
  <si>
    <t>Local and long-distance transportation service.</t>
  </si>
  <si>
    <t>"Protect the bakkie from theft in busy shopping centers while loading furniture or supplies."</t>
  </si>
  <si>
    <t>{"token":"b86bcad2-d958-4f6d-a40d-c6d98568508c","method":"createLead","external_system_uid":"B2C - 9PointPlanWA","external_source_id":"10001","name":"Syabonga (Eastern Pretoria Bakkie Hire)","phone":"0753551258","lead_in_date":"22-March-2026 18:14:31","instance_uid":"793c83c2-f829-464c-ad82-a157cf85bf34","campaign_uid":"af7b2cbb-29a4-446b-b4fd-0199a060d9ad","email":"N/A","remark_message":"Source: Gumtree - Bakkie Hire (requested 2026-03-22) Local and long-distance transportation service.. Motivation: Protect the bakkie from theft in busy shopping centers while loading furniture or supplies.. Context: Available for households and office removals.","meta":{"additional_partner_field1":"Suburb","additional_partner_field2":"Eastern Pretoria Pretoria"}}</t>
  </si>
  <si>
    <t>Lucas Removal (Centurion)</t>
  </si>
  <si>
    <t>taylorziba87@gmail.com</t>
  </si>
  <si>
    <t>Mobile removal service for furniture and goods.</t>
  </si>
  <si>
    <t>"Tracking helps in verifying trips for high-volume commercial moving clients, ensuring billing is 100% accurate."</t>
  </si>
  <si>
    <t>{"token":"e583f3f7-5a23-433d-a7f2-75896b5737c5","method":"createLead","external_system_uid":"B2C - 9PointPlanWA","external_source_id":"10001","name":"Lucas Removal (Centurion)","phone":"0719135405","lead_in_date":"22-March-2026 18:14:31","instance_uid":"793c83c2-f829-464c-ad82-a157cf85bf34","campaign_uid":"af7b2cbb-29a4-446b-b4fd-0199a060d9ad","email":"taylorziba87@gmail.com","remark_message":"Source: Gumtree - Removals (requested 2026-02-20) Mobile removal service for furniture and goods.. Motivation: Tracking helps in verifying trips for high-volume commercial moving clients, ensuring billing is 100% accurate.. Context: Centurion and surrounding areas.","meta":{"additional_partner_field1":"Suburb","additional_partner_field2":"Centurion Pretoria"}}</t>
  </si>
  <si>
    <t>Gumtree - Long Distance</t>
  </si>
  <si>
    <t>Denise (Durban Transport SME)</t>
  </si>
  <si>
    <t>Transporting goods from Durban to JHB/Cape Town.</t>
  </si>
  <si>
    <t>"The risk of cargo loss on national roads is extreme; a hidden tracker is the best way to recover a hijacked load."</t>
  </si>
  <si>
    <t>{"token":"8e6f7c39-8323-41bb-b197-fd024be9cfcc","method":"createLead","external_system_uid":"B2C - 9PointPlanWA","external_source_id":"10001","name":"Denise (Durban Transport SME)","phone":"0746112704","lead_in_date":"22-March-2026 18:14:31","instance_uid":"793c83c2-f829-464c-ad82-a157cf85bf34","campaign_uid":"af7b2cbb-29a4-446b-b4fd-0199a060d9ad","email":"N/A","remark_message":"Source: Gumtree - Long Distance (requested 2026-02-20) Transporting goods from Durban to JHB/Cape Town.. Motivation: The risk of cargo loss on national roads is extreme; a hidden tracker is the best way to recover a hijacked load.. Context: Covers Port Shepstone to Pretoria.","meta":{"additional_partner_field1":"Suburb","additional_partner_field2":"Durban Central Durban"}}</t>
  </si>
  <si>
    <t>Gumtree - Truck Hire</t>
  </si>
  <si>
    <t>Mike T (Affordable Truck Hire)</t>
  </si>
  <si>
    <t>affordabletruckhire@gmail.com</t>
  </si>
  <si>
    <t>Small business providing fleet of bakkies and trucks.</t>
  </si>
  <si>
    <t>"For a rental business, knowing the exact location and health of your vehicles at all times is the key to minimizing losses."</t>
  </si>
  <si>
    <t>{"token":"6c27df18-10db-4a48-8a91-712995ae3783","method":"createLead","external_system_uid":"B2C - 9PointPlanWA","external_source_id":"10001","name":"Mike T (Affordable Truck Hire)","phone":"0605673495","lead_in_date":"22-March-2026 18:14:31","instance_uid":"793c83c2-f829-464c-ad82-a157cf85bf34","campaign_uid":"af7b2cbb-29a4-446b-b4fd-0199a060d9ad","email":"affordabletruckhire@gmail.com","remark_message":"Source: Gumtree - Truck Hire (requested 2026-03-21) Small business providing fleet of bakkies and trucks.. Motivation: For a rental business, knowing the exact location and health of your vehicles at all times is the key to minimizing losses.. Context: Modern fleet available across South Africa.","meta":{"additional_partner_field1":"Suburb","additional_partner_field2":"City Centre Johannesburg"}}</t>
  </si>
  <si>
    <t>André (Durban mini loads)</t>
  </si>
  <si>
    <t>Bakkie hire inclusive of driver for Durban surroundings.</t>
  </si>
  <si>
    <t>"Tracking ensures that drivers don't take unauthorized personal detours, keeping fuel costs under control."</t>
  </si>
  <si>
    <t>{"token":"2719bbf3-6bfd-4396-bfb6-2c957c8f8229","method":"createLead","external_system_uid":"B2C - 9PointPlanWA","external_source_id":"10001","name":"André (Durban mini loads)","phone":"0614278876","lead_in_date":"22-March-2026 18:14:31","instance_uid":"793c83c2-f829-464c-ad82-a157cf85bf34","campaign_uid":"af7b2cbb-29a4-446b-b4fd-0199a060d9ad","email":"N/A","remark_message":"Source: Gumtree - Bakkie Hire (requested 2026-03-22) Bakkie hire inclusive of driver for Durban surroundings.. Motivation: Tracking ensures that drivers don't take unauthorized personal detours, keeping fuel costs under control.. Context: Hyundai H100 available for mini loads.","meta":{"additional_partner_field1":"Suburb","additional_partner_field2":"Berea Durban"}}</t>
  </si>
  <si>
    <t>Gumtree - Services</t>
  </si>
  <si>
    <t>Bakkie for Hire Eldorado Park</t>
  </si>
  <si>
    <t>Small transport operator in Eldorado Park.</t>
  </si>
  <si>
    <t>"In high-risk residential areas like Eldorado Park, a tracker with a strong recovery team is an absolute necessity."</t>
  </si>
  <si>
    <t>{"token":"e5124eac-b07d-4700-907e-f8396e8c9657","method":"createLead","external_system_uid":"B2C - 9PointPlanWA","external_source_id":"10001","name":"Bakkie for Hire Eldorado Park","phone":"0824947638","lead_in_date":"22-March-2026 18:14:31","instance_uid":"793c83c2-f829-464c-ad82-a157cf85bf34","campaign_uid":"af7b2cbb-29a4-446b-b4fd-0199a060d9ad","email":"N/A","remark_message":"Source: Gumtree - Services (requested 2026-03-19) Small transport operator in Eldorado Park.. Motivation: In high-risk residential areas like Eldorado Park, a tracker with a strong recovery team is an absolute necessity.. Context: Affordable bakkie hire services.","meta":{"additional_partner_field1":"Suburb","additional_partner_field2":"Eldorado Park Johannesburg"}}</t>
  </si>
  <si>
    <t>Gumtree - East London</t>
  </si>
  <si>
    <t>Mini Truck &amp; Bakkie 4 Hire (East London)</t>
  </si>
  <si>
    <t>Deliveries and removals in the Eastern Cape.</t>
  </si>
  <si>
    <t>"Transporting goods to Mthatha and Queenstown involves high-theft corridors where a tracker can be the difference between recovery and total loss."</t>
  </si>
  <si>
    <t>{"token":"865db75c-5357-4b69-840d-eb5dc55b9c18","method":"createLead","external_system_uid":"B2C - 9PointPlanWA","external_source_id":"10001","name":"Mini Truck &amp; Bakkie 4 Hire (East London)","phone":"0842239563","lead_in_date":"22-March-2026 18:14:31","instance_uid":"793c83c2-f829-464c-ad82-a157cf85bf34","campaign_uid":"af7b2cbb-29a4-446b-b4fd-0199a060d9ad","email":"N/A","remark_message":"Source: Gumtree - East London (requested 2026-03-20) Deliveries and removals in the Eastern Cape.. Motivation: Transporting goods to Mthatha and Queenstown involves high-theft corridors where a tracker can be the difference between recovery and total loss.. Context: NP300 and H100 vehicles for hire.","meta":{"additional_partner_field1":"Suburb","additional_partner_field2":"East London East London"}}</t>
  </si>
  <si>
    <t>Mike (1-ton Bakkie with driver)</t>
  </si>
  <si>
    <t>Single bakkie operation for local removals.</t>
  </si>
  <si>
    <t>"Tracking provides the essential location data needed for small businesses to optimize their daily job schedules."</t>
  </si>
  <si>
    <t>{"token":"c7189f7b-78e8-4738-b39a-0edf119b7f9e","method":"createLead","external_system_uid":"B2C - 9PointPlanWA","external_source_id":"10001","name":"Mike (1-ton Bakkie with driver)","phone":"0692681461","lead_in_date":"22-March-2026 18:14:31","instance_uid":"793c83c2-f829-464c-ad82-a157cf85bf34","campaign_uid":"af7b2cbb-29a4-446b-b4fd-0199a060d9ad","email":"N/A","remark_message":"Source: Gumtree - Removals (requested 2026-03-19) Single bakkie operation for local removals.. Motivation: Tracking provides the essential location data needed for small businesses to optimize their daily job schedules.. Context: Services all areas in Durban.","meta":{"additional_partner_field1":"Suburb","additional_partner_field2":"Queensburgh Durban"}}</t>
  </si>
  <si>
    <t>Gumtree - Logistics</t>
  </si>
  <si>
    <t>Denise ( Kokstad Removals)</t>
  </si>
  <si>
    <t>Small business delivering to Kokstad and Mthatha.</t>
  </si>
  <si>
    <t>"Operating in deep rural areas of KZN and EC means roadside assistance via a tracking partner is a safety critical requirement."</t>
  </si>
  <si>
    <t>{"token":"89d1c0ba-3cc9-4e9e-b7e5-143757d5c70f","method":"createLead","external_system_uid":"B2C - 9PointPlanWA","external_source_id":"10001","name":"Denise ( Kokstad Removals)","phone":"0746112704","lead_in_date":"22-March-2026 18:14:31","instance_uid":"793c83c2-f829-464c-ad82-a157cf85bf34","campaign_uid":"af7b2cbb-29a4-446b-b4fd-0199a060d9ad","email":"N/A","remark_message":"Source: Gumtree - Logistics (requested 2026-02-20) Small business delivering to Kokstad and Mthatha.. Motivation: Operating in deep rural areas of KZN and EC means roadside assistance via a tracking partner is a safety critical requirement.. Context: Durban based travel service.","meta":{"additional_partner_field1":"Suburb","additional_partner_field2":"Kokstad Kokstad"}}</t>
  </si>
  <si>
    <t>Syabonga (Pretoria Removals)</t>
  </si>
  <si>
    <t>Active removal service in Pretoria East.</t>
  </si>
  <si>
    <t>"A tracker allows you to manage multiple loads a day by knowing exactly when a driver has finished a drop-off."</t>
  </si>
  <si>
    <t>{"token":"dc0ffaa1-eff4-42e3-8774-9522a1fcf1eb","method":"createLead","external_system_uid":"B2C - 9PointPlanWA","external_source_id":"10001","name":"Syabonga (Pretoria Removals)","phone":"0753551258","lead_in_date":"22-March-2026 18:14:31","instance_uid":"793c83c2-f829-464c-ad82-a157cf85bf34","campaign_uid":"af7b2cbb-29a4-446b-b4fd-0199a060d9ad","email":"N/A","remark_message":"Source: Gumtree - Bakkie Hire (requested 2026-03-22) Active removal service in Pretoria East.. Motivation: A tracker allows you to manage multiple loads a day by knowing exactly when a driver has finished a drop-off.. Context: Services households and offices.","meta":{"additional_partner_field1":"Suburb","additional_partner_field2":"East Lynn Pretoria"}}</t>
  </si>
  <si>
    <t>Google - Refrigerated Transport</t>
  </si>
  <si>
    <t>SPH Transport Services</t>
  </si>
  <si>
    <t>Small logistics firm specializing in refrigerated delivery.</t>
  </si>
  <si>
    <t>"Refrigerated loads are time-sensitive; a tracker monitors both location and potential delays to protect the cold chain."</t>
  </si>
  <si>
    <t>{"token":"402950ee-5cec-4f01-936a-e4423b38c21f","method":"createLead","external_system_uid":"B2C - 9PointPlanWA","external_source_id":"10001","name":"SPH Transport Services","phone":"0824583723","lead_in_date":"22-March-2026 18:14:31","instance_uid":"793c83c2-f829-464c-ad82-a157cf85bf34","campaign_uid":"af7b2cbb-29a4-446b-b4fd-0199a060d9ad","email":"N/A","remark_message":"Source: Google - Refrigerated Transport (requested 2026-02-15) Small logistics firm specializing in refrigerated delivery.. Motivation: Refrigerated loads are time-sensitive; a tracker monitors both location and potential delays to protect the cold chain.. Context: Fleet of 30 MAN trucks.","meta":{"additional_partner_field1":"Suburb","additional_partner_field2":"Rivergate Cape Town"}}</t>
  </si>
  <si>
    <t>Marshall Plumbing Team</t>
  </si>
  <si>
    <t>Lead for a small owner-operated plumbing business.</t>
  </si>
  <si>
    <t>"Tracking protects the specialized leak detection equipment on board, which is often worth more than the vehicle itself."</t>
  </si>
  <si>
    <t>{"token":"6ff86469-fd44-4dcd-aaad-dfe7d945431c","method":"createLead","external_system_uid":"B2C - 9PointPlanWA","external_source_id":"10001","name":"Marshall Plumbing Team","phone":"0824391871","lead_in_date":"22-March-2026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Lead for a small owner-operated plumbing business.. Motivation: Tracking protects the specialized leak detection equipment on board, which is often worth more than the vehicle itself.. Context: Table View local plumber.","meta":{"additional_partner_field1":"Suburb","additional_partner_field2":"Table View Cape Town"}}</t>
  </si>
  <si>
    <t>Google - Emergency Plumbing</t>
  </si>
  <si>
    <t>Pirate Plumbing Team</t>
  </si>
  <si>
    <t>Professional plumbers in the Cape Peninsula.</t>
  </si>
  <si>
    <t>"24/7 service means teams are out at all hours; a tracker ensures the head office can see that every plumber reaches their destination safely."</t>
  </si>
  <si>
    <t>{"token":"21f9d061-f2bb-4eb3-8abb-457b807cf31a","method":"createLead","external_system_uid":"B2C - 9PointPlanWA","external_source_id":"10001","name":"Pirate Plumbing Team","phone":"0712460127","lead_in_date":"22-March-2026 18:14:31","instance_uid":"793c83c2-f829-464c-ad82-a157cf85bf34","campaign_uid":"af7b2cbb-29a4-446b-b4fd-0199a060d9ad","email":"Info@pirateplumbing.co.za","remark_message":"Source: Google - Emergency Plumbing (requested 2026-03-01) Professional plumbers in the Cape Peninsula.. Motivation: 24/7 service means teams are out at all hours; a tracker ensures the head office can see that every plumber reaches their destination safely.. Context: Covers all suburbs in Cape Town.","meta":{"additional_partner_field1":"Suburb","additional_partner_field2":"Panorama Cape Town"}}</t>
  </si>
  <si>
    <t>Google - Northern Suburbs Plumber</t>
  </si>
  <si>
    <t>HB Plumbing Services</t>
  </si>
  <si>
    <t>Accredited plumbing firm for home maintenance.</t>
  </si>
  <si>
    <t>"Tracking prevents vehicle misuse for unauthorized 'side jobs' by employees, protecting the company's fuel and reputation."</t>
  </si>
  <si>
    <t>{"token":"06140a7c-39e0-41ea-86ff-891673823778","method":"createLead","external_system_uid":"B2C - 9PointPlanWA","external_source_id":"10001","name":"HB Plumbing Services","phone":"0219870160","lead_in_date":"22-March-2026 18:14:31","instance_uid":"793c83c2-f829-464c-ad82-a157cf85bf34","campaign_uid":"af7b2cbb-29a4-446b-b4fd-0199a060d9ad","email":"info@hbplumbing.co.za","remark_message":"Source: Google - Northern Suburbs Plumber (requested 2026-03-10) Accredited plumbing firm for home maintenance.. Motivation: Tracking prevents vehicle misuse for unauthorized 'side jobs' by employees, protecting the company's fuel and reputation.. Context: Institute of Plumbing South Africa member.","meta":{"additional_partner_field1":"Suburb","additional_partner_field2":"Bellville Cape Town"}}</t>
  </si>
  <si>
    <t>Google - Handyman Services</t>
  </si>
  <si>
    <t>Handyman Homes Plumber</t>
  </si>
  <si>
    <t>Urgent plumbing and home fix service.</t>
  </si>
  <si>
    <t>"Service vehicles are frequently targeted in the City Bowl area; a recovery-focused tracker is the best investment for the owner."</t>
  </si>
  <si>
    <t>{"token":"bcfa097a-f695-4448-981e-fa3d9959eaf5","method":"createLead","external_system_uid":"B2C - 9PointPlanWA","external_source_id":"10001","name":"Handyman Homes Plumber","phone":"0713192831","lead_in_date":"22-March-2026 18:14:31","instance_uid":"793c83c2-f829-464c-ad82-a157cf85bf34","campaign_uid":"af7b2cbb-29a4-446b-b4fd-0199a060d9ad","email":"N/A","remark_message":"Source: Google - Handyman Services (requested 2026-03-15) Urgent plumbing and home fix service.. Motivation: Service vehicles are frequently targeted in the City Bowl area; a recovery-focused tracker is the best investment for the owner.. Context: Professional tradesmen in Cape Town.","meta":{"additional_partner_field1":"Suburb","additional_partner_field2":"City Bowl Cape Town"}}</t>
  </si>
  <si>
    <t>Khulanathi Industrial Electrical</t>
  </si>
  <si>
    <t>SME serving industrial and factory sites.</t>
  </si>
  <si>
    <t>"Industrial park security often requires pre-cleared vehicles with active GPS tracking for access."</t>
  </si>
  <si>
    <t>{"token":"2d0c5d44-17da-4617-bee9-3e6eb741564e","method":"createLead","external_system_uid":"B2C - 9PointPlanWA","external_source_id":"10001","name":"Khulanathi Industrial Electrical","phone":"0325339222","lead_in_date":"22-March-2026 18:14:31","instance_uid":"793c83c2-f829-464c-ad82-a157cf85bf34","campaign_uid":"af7b2cbb-29a4-446b-b4fd-0199a060d9ad","email":"info@khulanathielectrical.co.za","remark_message":"Source: Google - Electrical Contractor (requested 2026-03-12) SME serving industrial and factory sites.. Motivation: Industrial park security often requires pre-cleared vehicles with active GPS tracking for access.. Context: Master Electrician led company.","meta":{"additional_partner_field1":"Suburb","additional_partner_field2":"Durban Durban"}}</t>
  </si>
  <si>
    <t>Google - Durban Electrician</t>
  </si>
  <si>
    <t>Blue Cord Nine Team (Ralph/Shane)</t>
  </si>
  <si>
    <t>Small business focused on solar and backup power.</t>
  </si>
  <si>
    <t>"Solar components in transit are high-risk cargo; trackers in the transport vans help secure the entire project supply chain."</t>
  </si>
  <si>
    <t>{"token":"c2ff8035-9946-4b8e-854a-581eb6e0591a","method":"createLead","external_system_uid":"B2C - 9PointPlanWA","external_source_id":"10001","name":"Blue Cord Nine Team (Ralph/Shane)","phone":"0718774843","lead_in_date":"22-March-2026 18:14:31","instance_uid":"793c83c2-f829-464c-ad82-a157cf85bf34","campaign_uid":"af7b2cbb-29a4-446b-b4fd-0199a060d9ad","email":"info@bluecordnine.co.za","remark_message":"Source: Google - Durban Electrician (requested 2026-03-12) Small business focused on solar and backup power.. Motivation: Solar components in transit are high-risk cargo; trackers in the transport vans help secure the entire project supply chain.. Context: Provides testing and COCs.","meta":{"additional_partner_field1":"Suburb","additional_partner_field2":"Durban Durban"}}</t>
  </si>
  <si>
    <t>Google - KZN Electrician</t>
  </si>
  <si>
    <t>Laatz Electrical Emergency Team</t>
  </si>
  <si>
    <t>Electricians providing 24/7 emergency repair.</t>
  </si>
  <si>
    <t>"Emergency vehicles are out when the streets are most dangerous; a tracker with a mobile app keeps the owner connected to his team."</t>
  </si>
  <si>
    <t>{"token":"ea0cf076-f5c9-4d79-b073-8b5f72af9158","method":"createLead","external_system_uid":"B2C - 9PointPlanWA","external_source_id":"10001","name":"Laatz Electrical Emergency Team","phone":"0824500435","lead_in_date":"22-March-2026 18:14:31","instance_uid":"793c83c2-f829-464c-ad82-a157cf85bf34","campaign_uid":"af7b2cbb-29a4-446b-b4fd-0199a060d9ad","email":"N/A","remark_message":"Source: Google - KZN Electrician (requested 2026-02-14) Electricians providing 24/7 emergency repair.. Motivation: Emergency vehicles are out when the streets are most dangerous; a tracker with a mobile app keeps the owner connected to his team.. Context: Trustworthy and hardworking reputation.","meta":{"additional_partner_field1":"Suburb","additional_partner_field2":"Durban Durban"}}</t>
  </si>
  <si>
    <t>Google - Mobile Car Wash</t>
  </si>
  <si>
    <t>GlowGo Strand Headquarters</t>
  </si>
  <si>
    <t>Mobile detailing company in the Western Cape.</t>
  </si>
  <si>
    <t>"Manage scheduling for multiple mobile trolleys across Strand and Somerset West with asset tracking software."</t>
  </si>
  <si>
    <t>{"token":"7deb85b5-a73c-42ae-9fe2-af9f572faeef","method":"createLead","external_system_uid":"B2C - 9PointPlanWA","external_source_id":"10001","name":"GlowGo Strand Headquarters","phone":"0764500116","lead_in_date":"22-March-2026 18:14:31","instance_uid":"793c83c2-f829-464c-ad82-a157cf85bf34","campaign_uid":"af7b2cbb-29a4-446b-b4fd-0199a060d9ad","email":"info@glowgomobilecarwash.co.za","remark_message":"Source: Google - Mobile Car Wash (requested 2026-03-12) Mobile detailing company in the Western Cape.. Motivation: Manage scheduling for multiple mobile trolleys across Strand and Somerset West with asset tracking software.. Context: Water-saving, eco-friendly car care.","meta":{"additional_partner_field1":"Suburb","additional_partner_field2":"Strand Cape Town"}}</t>
  </si>
  <si>
    <t>Directory - Car Wash</t>
  </si>
  <si>
    <t>FoamWorx Mobile Detailing</t>
  </si>
  <si>
    <t>Mobile detailing by appointment.</t>
  </si>
  <si>
    <t>"With detailing appointments at private homes, a tracker helps provide accurate 'I am on my way' alerts to clients."</t>
  </si>
  <si>
    <t>{"token":"a1b065de-4f0b-4ca4-b9f4-2336d968d4f9","method":"createLead","external_system_uid":"B2C - 9PointPlanWA","external_source_id":"10001","name":"FoamWorx Mobile Detailing","phone":"0813780420","lead_in_date":"22-March-2026 18:14:31","instance_uid":"793c83c2-f829-464c-ad82-a157cf85bf34","campaign_uid":"af7b2cbb-29a4-446b-b4fd-0199a060d9ad","email":"N/A","remark_message":"Source: Directory - Car Wash (requested 2026-03-10) Mobile detailing by appointment.. Motivation: With detailing appointments at private homes, a tracker helps provide accurate 'I am on my way' alerts to clients.. Context: Based in Kleinmond.","meta":{"additional_partner_field1":"Suburb","additional_partner_field2":"Kleinmond Hermanus"}}</t>
  </si>
  <si>
    <t>Mountainside Mobile Services</t>
  </si>
  <si>
    <t>Premium doorstep car wash service.</t>
  </si>
  <si>
    <t>"Prevent opportunistic theft of the vehicle while the owner is busy washing cars at the back of residential properties."</t>
  </si>
  <si>
    <t>{"token":"099555af-1fee-4d28-a601-f4992177e581","method":"createLead","external_system_uid":"B2C - 9PointPlanWA","external_source_id":"10001","name":"Mountainside Mobile Services","phone":"0699794997","lead_in_date":"22-March-2026 18:14:31","instance_uid":"793c83c2-f829-464c-ad82-a157cf85bf34","campaign_uid":"af7b2cbb-29a4-446b-b4fd-0199a060d9ad","email":"N/A","remark_message":"Source: Directory - Car Wash (requested 2026-03-05) Premium doorstep car wash service.. Motivation: Prevent opportunistic theft of the vehicle while the owner is busy washing cars at the back of residential properties.. Context: Premium mobile service.","meta":{"additional_partner_field1":"Suburb","additional_partner_field2":"Kleinmond Hermanus"}}</t>
  </si>
  <si>
    <t>Gideon Steyn (Hermanus Mobile Wash)</t>
  </si>
  <si>
    <t>Individual mobile car wash operator.</t>
  </si>
  <si>
    <t>"In a one-man business, the vehicle is the single most important asset; independent tracking ensures it stays in your hands."</t>
  </si>
  <si>
    <t>{"token":"558ef31f-d7bf-4523-8ec9-8ac2b102c8ff","method":"createLead","external_system_uid":"B2C - 9PointPlanWA","external_source_id":"10001","name":"Gideon Steyn (Hermanus Mobile Wash)","phone":"0761369136","lead_in_date":"22-March-2026 18:14:31","instance_uid":"793c83c2-f829-464c-ad82-a157cf85bf34","campaign_uid":"af7b2cbb-29a4-446b-b4fd-0199a060d9ad","email":"gideonsteyn3@gmail.com","remark_message":"Source: Directory - Car Wash (requested 2026-03-01) Individual mobile car wash operator.. Motivation: In a one-man business, the vehicle is the single most important asset; independent tracking ensures it stays in your hands.. Context: Body wash and interior protection services.","meta":{"additional_partner_field1":"Suburb","additional_partner_field2":"Hermanus Hermanus"}}</t>
  </si>
  <si>
    <t>Directory - Cleaning Management</t>
  </si>
  <si>
    <t>Team Clean Co (Holiday Management)</t>
  </si>
  <si>
    <t>Management company for Airbnb and private homes.</t>
  </si>
  <si>
    <t>"Managing cleaning teams across Hermanus requires proof of presence at properties, which a tracker with geofencing provides."</t>
  </si>
  <si>
    <t>{"token":"1155ba2c-2533-4aa2-a9f7-5047df5298bf","method":"createLead","external_system_uid":"B2C - 9PointPlanWA","external_source_id":"10001","name":"Team Clean Co (Holiday Management)","phone":"0826552265","lead_in_date":"22-March-2026 18:14:31","instance_uid":"793c83c2-f829-464c-ad82-a157cf85bf34","campaign_uid":"af7b2cbb-29a4-446b-b4fd-0199a060d9ad","email":"suzettemarlyn@gmail.com","remark_message":"Source: Directory - Cleaning Management (requested 2026-03-10) Management company for Airbnb and private homes.. Motivation: Managing cleaning teams across Hermanus requires proof of presence at properties, which a tracker with geofencing provides.. Context: Holiday home and regular clean services.","meta":{"additional_partner_field1":"Suburb","additional_partner_field2":"Hermanus Hermanus"}}</t>
  </si>
  <si>
    <t>Directory - Cleaning</t>
  </si>
  <si>
    <t>Dust-Free Homes (Betty's Bay)</t>
  </si>
  <si>
    <t>Move-out and regular cleaning for businesses.</t>
  </si>
  <si>
    <t>"Ensuring cleaning teams are efficient and vehicles are safe during 'move-out' cleans which can take many hours."</t>
  </si>
  <si>
    <t>{"token":"810e5845-bd22-43fc-b445-66efb5695e0a","method":"createLead","external_system_uid":"B2C - 9PointPlanWA","external_source_id":"10001","name":"Dust-Free Homes (Betty's Bay)","phone":"0738180664","lead_in_date":"22-March-2026 18:14:31","instance_uid":"793c83c2-f829-464c-ad82-a157cf85bf34","campaign_uid":"af7b2cbb-29a4-446b-b4fd-0199a060d9ad","email":"dustfreehomes1@gmail.com","remark_message":"Source: Directory - Cleaning (requested 2026-02-28) Move-out and regular cleaning for businesses.. Motivation: Ensuring cleaning teams are efficient and vehicles are safe during 'move-out' cleans which can take many hours.. Context: Deep clean specialists.","meta":{"additional_partner_field1":"Suburb","additional_partner_field2":"Betty's Bay Hermanus"}}</t>
  </si>
  <si>
    <t>Directory - Specialist Cleaning</t>
  </si>
  <si>
    <t>Blu Window Washing</t>
  </si>
  <si>
    <t>Window cleaning with pure water technology.</t>
  </si>
  <si>
    <t>"Pure water technology involves expensive filtration equipment in the van; tracking the vehicle is tracking your primary capital investment."</t>
  </si>
  <si>
    <t>{"token":"b446b3ba-13e6-4102-8608-b9199b87a315","method":"createLead","external_system_uid":"B2C - 9PointPlanWA","external_source_id":"10001","name":"Blu Window Washing","phone":"0662375766","lead_in_date":"22-March-2026 18:14:31","instance_uid":"793c83c2-f829-464c-ad82-a157cf85bf34","campaign_uid":"af7b2cbb-29a4-446b-b4fd-0199a060d9ad","email":"N/A","remark_message":"Source: Directory - Specialist Cleaning (requested 2026-03-12) Window cleaning with pure water technology.. Motivation: Pure water technology involves expensive filtration equipment in the van; tracking the vehicle is tracking your primary capital investment.. Context: Spotless shine specialists.","meta":{"additional_partner_field1":"Suburb","additional_partner_field2":"Kleinmond Hermanus"}}</t>
  </si>
  <si>
    <t>Directory - Outdoor Cleaning</t>
  </si>
  <si>
    <t>OUTclean Solar Panel Cleaning</t>
  </si>
  <si>
    <t>Solar panel and outdoor cleaning service provider.</t>
  </si>
  <si>
    <t>"Solar panel cleaners often work in exposed areas; an integrated panic button on the tracker provides essential crew safety."</t>
  </si>
  <si>
    <t>{"token":"61f362bd-0ef7-4abb-bf3e-3c75c2c9ecdb","method":"createLead","external_system_uid":"B2C - 9PointPlanWA","external_source_id":"10001","name":"OUTclean Solar Panel Cleaning","phone":"0764481294","lead_in_date":"22-March-2026 18:14:31","instance_uid":"793c83c2-f829-464c-ad82-a157cf85bf34","campaign_uid":"af7b2cbb-29a4-446b-b4fd-0199a060d9ad","email":"N/A","remark_message":"Source: Directory - Outdoor Cleaning (requested 2026-03-15) Solar panel and outdoor cleaning service provider.. Motivation: Solar panel cleaners often work in exposed areas; an integrated panic button on the tracker provides essential crew safety.. Context: Based in Meerensee, Hermanus.","meta":{"additional_partner_field1":"Suburb","additional_partner_field2":"Hermanus Hermanus"}}</t>
  </si>
  <si>
    <t>Directory - Specialized Service</t>
  </si>
  <si>
    <t>Leomar Upholstery</t>
  </si>
  <si>
    <t>Small business offering specialized upholstery services.</t>
  </si>
  <si>
    <t>"Pick-up and delivery of client furniture requires vehicle security to prevent loss of customer property."</t>
  </si>
  <si>
    <t>{"token":"a57a9e87-2904-47cf-bf03-7debf4a61940","method":"createLead","external_system_uid":"B2C - 9PointPlanWA","external_source_id":"10001","name":"Leomar Upholstery","phone":"0828262635","lead_in_date":"22-March-2026 18:14:31","instance_uid":"793c83c2-f829-464c-ad82-a157cf85bf34","campaign_uid":"af7b2cbb-29a4-446b-b4fd-0199a060d9ad","email":"N/A","remark_message":"Source: Directory - Specialized Service (requested 2026-03-20) Small business offering specialized upholstery services.. Motivation: Pick-up and delivery of client furniture requires vehicle security to prevent loss of customer property.. Context: Hermanus based small business.","meta":{"additional_partner_field1":"Suburb","additional_partner_field2":"Hermanus Hermanus"}}</t>
  </si>
  <si>
    <t>Government Agriculture List</t>
  </si>
  <si>
    <t>Rirhandzu Shilote</t>
  </si>
  <si>
    <t>Agricultural entrepreneur lead in Pretoria.</t>
  </si>
  <si>
    <t>"Agricultural transport is a prime target for high-value hijackings; a tracker with active monitoring is a mandatory business expense."</t>
  </si>
  <si>
    <t>{"token":"a5b50e2a-a746-47d7-85e7-65ab0a1aeb6c","method":"createLead","external_system_uid":"B2C - 9PointPlanWA","external_source_id":"10001","name":"Rirhandzu Shilote","phone":"0825775612","lead_in_date":"22-March-2026 18:14:31","instance_uid":"793c83c2-f829-464c-ad82-a157cf85bf34","campaign_uid":"af7b2cbb-29a4-446b-b4fd-0199a060d9ad","email":"applications@dalrrd.gov.za","remark_message":"Source: Government Agriculture List (requested 2026-01-23) Agricultural entrepreneur lead in Pretoria.. Motivation: Agricultural transport is a prime target for high-value hijackings; a tracker with active monitoring is a mandatory business expense.. Context: Department of Agriculture head office contact.","meta":{"additional_partner_field1":"Suburb","additional_partner_field2":"N/A Pretoria"}}</t>
  </si>
  <si>
    <t>Sibusiso Nongwanya (EC Farmer Lead)</t>
  </si>
  <si>
    <t>Small-scale farming business owner in Eastern Cape.</t>
  </si>
  <si>
    <t>"Protecting bakkies used in rural farming communities where police response times are long is a high priority."</t>
  </si>
  <si>
    <t>{"token":"fa2f8644-11fc-403c-8298-9ef8605d3a57","method":"createLead","external_system_uid":"B2C - 9PointPlanWA","external_source_id":"10001","name":"Sibusiso Nongwanya (EC Farmer Lead)","phone":"0835369119","lead_in_date":"22-March-2026 18:14:31","instance_uid":"793c83c2-f829-464c-ad82-a157cf85bf34","campaign_uid":"af7b2cbb-29a4-446b-b4fd-0199a060d9ad","email":"applications@dalrrd.gov.za","remark_message":"Source: Government Agriculture List (requested 2026-01-23) Small-scale farming business owner in Eastern Cape.. Motivation: Protecting bakkies used in rural farming communities where police response times are long is a high priority.. Context: Eastern Cape provincial contact.","meta":{"additional_partner_field1":"Suburb","additional_partner_field2":"N/A East London"}}</t>
  </si>
  <si>
    <t>Ms Dudu Nghona</t>
  </si>
  <si>
    <t>Agricultural small business support lead.</t>
  </si>
  <si>
    <t>"For small agricultural enterprises, the loss of one vehicle can mean total bankruptcy; tracking is essential for risk management."</t>
  </si>
  <si>
    <t>{"token":"b759d052-bbe7-4b54-8193-26fd86353c9c","method":"createLead","external_system_uid":"B2C - 9PointPlanWA","external_source_id":"10001","name":"Ms Dudu Nghona","phone":"0825775622","lead_in_date":"22-March-2026 18:14:31","instance_uid":"793c83c2-f829-464c-ad82-a157cf85bf34","campaign_uid":"af7b2cbb-29a4-446b-b4fd-0199a060d9ad","email":"applications@dalrrd.gov.za","remark_message":"Source: Government Agriculture List (requested 2026-01-23) Agricultural small business support lead.. Motivation: For small agricultural enterprises, the loss of one vehicle can mean total bankruptcy; tracking is essential for risk management.. Context: Eastern Cape provincial contact.","meta":{"additional_partner_field1":"Suburb","additional_partner_field2":"N/A East London"}}</t>
  </si>
  <si>
    <t>Ms Mangi Ramabenyane</t>
  </si>
  <si>
    <t>Free State agricultural business lead.</t>
  </si>
  <si>
    <t>"Trackers with roaming are vital in the Free State where thieves often take vehicles across provincial lines quickly."</t>
  </si>
  <si>
    <t>{"token":"27f532de-549f-4474-bb7a-d55ab65414d7","method":"createLead","external_system_uid":"B2C - 9PointPlanWA","external_source_id":"10001","name":"Ms Mangi Ramabenyane","phone":"0829070544","lead_in_date":"22-March-2026 18:14:31","instance_uid":"793c83c2-f829-464c-ad82-a157cf85bf34","campaign_uid":"af7b2cbb-29a4-446b-b4fd-0199a060d9ad","email":"N/A","remark_message":"Source: Government Agriculture List (requested 2026-01-23) Free State agricultural business lead.. Motivation: Trackers with roaming are vital in the Free State where thieves often take vehicles across provincial lines quickly.. Context: Free State provincial contact.","meta":{"additional_partner_field1":"Suburb","additional_partner_field2":"N/A Bloemfontein"}}</t>
  </si>
  <si>
    <t>Ms Matilda Gasela (Gauteng SME)</t>
  </si>
  <si>
    <t>Business development lead for small farmers.</t>
  </si>
  <si>
    <t>"Gauteng's high crime index for vehicle theft makes tracking the single most important investment for any mobile small business."</t>
  </si>
  <si>
    <t>{"token":"b8fd5b9e-ee8a-43eb-8873-e2571e6617dc","method":"createLead","external_system_uid":"B2C - 9PointPlanWA","external_source_id":"10001","name":"Ms Matilda Gasela (Gauteng SME)","phone":"0714849122","lead_in_date":"22-March-2026 18:14:31","instance_uid":"793c83c2-f829-464c-ad82-a157cf85bf34","campaign_uid":"af7b2cbb-29a4-446b-b4fd-0199a060d9ad","email":"N/A","remark_message":"Source: Government Agriculture List (requested 2026-01-23) Business development lead for small farmers.. Motivation: Gauteng's high crime index for vehicle theft makes tracking the single most important investment for any mobile small business.. Context: Gauteng provincial contact.","meta":{"additional_partner_field1":"Suburb","additional_partner_field2":"N/A Johannesburg"}}</t>
  </si>
  <si>
    <t>Ms Rachel Masango</t>
  </si>
  <si>
    <t>Entrepreneurial support for micro-enterprises.</t>
  </si>
  <si>
    <t>"Independent trackers provide the data needed to negotiate lower premiums with commercial insurance providers."</t>
  </si>
  <si>
    <t>{"token":"ddee84ce-d8ac-4429-8d50-2505e0240946","method":"createLead","external_system_uid":"B2C - 9PointPlanWA","external_source_id":"10001","name":"Ms Rachel Masango","phone":"0825775581","lead_in_date":"22-March-2026 18:14:31","instance_uid":"793c83c2-f829-464c-ad82-a157cf85bf34","campaign_uid":"af7b2cbb-29a4-446b-b4fd-0199a060d9ad","email":"N/A","remark_message":"Source: Government Agriculture List (requested 2026-01-23) Entrepreneurial support for micro-enterprises.. Motivation: Independent trackers provide the data needed to negotiate lower premiums with commercial insurance providers.. Context: Gauteng provincial contact.","meta":{"additional_partner_field1":"Suburb","additional_partner_field2":"N/A Johannesburg"}}</t>
  </si>
  <si>
    <t>Mr Siza Sibande</t>
  </si>
  <si>
    <t>KZN agricultural business coordinator.</t>
  </si>
  <si>
    <t>"Vehicles carrying livestock are a specific target; tracking trailers and bakkies is vital for livestock security."</t>
  </si>
  <si>
    <t>{"token":"53d26c78-8a97-4f5a-8289-a89dc4787732","method":"createLead","external_system_uid":"B2C - 9PointPlanWA","external_source_id":"10001","name":"Mr Siza Sibande","phone":"0716868158","lead_in_date":"22-March-2026 18:14:31","instance_uid":"793c83c2-f829-464c-ad82-a157cf85bf34","campaign_uid":"af7b2cbb-29a4-446b-b4fd-0199a060d9ad","email":"N/A","remark_message":"Source: Government Agriculture List (requested 2026-01-23) KZN agricultural business coordinator.. Motivation: Vehicles carrying livestock are a specific target; tracking trailers and bakkies is vital for livestock security.. Context: KwaZulu-Natal provincial contact.","meta":{"additional_partner_field1":"Suburb","additional_partner_field2":"N/A Durban"}}</t>
  </si>
  <si>
    <t>Mr Nhlanhla Mndaweni</t>
  </si>
  <si>
    <t>KZN-based small farming lead.</t>
  </si>
  <si>
    <t>"Ensure that produce delivery schedules are optimized and vehicles are safe during market transit through high-risk urban centers."</t>
  </si>
  <si>
    <t>{"token":"98078072-2a12-4e15-aa49-c171f0270e3e","method":"createLead","external_system_uid":"B2C - 9PointPlanWA","external_source_id":"10001","name":"Mr Nhlanhla Mndaweni","phone":"0828886282","lead_in_date":"22-March-2026 18:14:31","instance_uid":"793c83c2-f829-464c-ad82-a157cf85bf34","campaign_uid":"af7b2cbb-29a4-446b-b4fd-0199a060d9ad","email":"N/A","remark_message":"Source: Government Agriculture List (requested 2026-01-23) KZN-based small farming lead.. Motivation: Ensure that produce delivery schedules are optimized and vehicles are safe during market transit through high-risk urban centers.. Context: KwaZulu-Natal provincial contact.","meta":{"additional_partner_field1":"Suburb","additional_partner_field2":"N/A Pietermaritzburg"}}</t>
  </si>
  <si>
    <t>Ms Jacqueline Maisela</t>
  </si>
  <si>
    <t>Limpopo agricultural entrepreneur lead.</t>
  </si>
  <si>
    <t>"Tracking helps in managing the security of cross-border trade vehicles which are highly susceptible to theft and hijacking."</t>
  </si>
  <si>
    <t>{"token":"3e3f65fd-bdfe-4073-9684-f8dac9c0259b","method":"createLead","external_system_uid":"B2C - 9PointPlanWA","external_source_id":"10001","name":"Ms Jacqueline Maisela","phone":"0834511056","lead_in_date":"22-March-2026 18:14:31","instance_uid":"793c83c2-f829-464c-ad82-a157cf85bf34","campaign_uid":"af7b2cbb-29a4-446b-b4fd-0199a060d9ad","email":"N/A","remark_message":"Source: Government Agriculture List (requested 2026-01-23) Limpopo agricultural entrepreneur lead.. Motivation: Tracking helps in managing the security of cross-border trade vehicles which are highly susceptible to theft and hijacking.. Context: Limpopo provincial contact.","meta":{"additional_partner_field1":"Suburb","additional_partner_field2":"N/A Polokwane"}}</t>
  </si>
  <si>
    <t>Mr LS Monareng</t>
  </si>
  <si>
    <t>Mpumalanga small enterprise lead.</t>
  </si>
  <si>
    <t>"Protect bakkies and trailers used for small-scale transport in areas with poor road lighting and high hijack risk."</t>
  </si>
  <si>
    <t>{"token":"d45f967c-6b37-47c5-b563-d851f74b9ea5","method":"createLead","external_system_uid":"B2C - 9PointPlanWA","external_source_id":"10001","name":"Mr LS Monareng","phone":"0829012716","lead_in_date":"22-March-2026 18:14:31","instance_uid":"793c83c2-f829-464c-ad82-a157cf85bf34","campaign_uid":"af7b2cbb-29a4-446b-b4fd-0199a060d9ad","email":"N/A","remark_message":"Source: Government Agriculture List (requested 2026-01-23) Mpumalanga small enterprise lead.. Motivation: Protect bakkies and trailers used for small-scale transport in areas with poor road lighting and high hijack risk.. Context: Mpumalanga provincial contact.","meta":{"additional_partner_field1":"Suburb","additional_partner_field2":"N/A Nelspruit"}}</t>
  </si>
  <si>
    <t>Ms Zanele Sihlangu</t>
  </si>
  <si>
    <t>Business lead for Mpumalanga smallholders.</t>
  </si>
  <si>
    <t>"Trackers with remote immobilization are a key tool for small business owners to regain control if a vehicle is hijacked."</t>
  </si>
  <si>
    <t>{"token":"cc21c0bd-8c19-47e7-a569-b398bcac680f","method":"createLead","external_system_uid":"B2C - 9PointPlanWA","external_source_id":"10001","name":"Ms Zanele Sihlangu","phone":"0829698672","lead_in_date":"22-March-2026 18:14:31","instance_uid":"793c83c2-f829-464c-ad82-a157cf85bf34","campaign_uid":"af7b2cbb-29a4-446b-b4fd-0199a060d9ad","email":"N/A","remark_message":"Source: Government Agriculture List (requested 2026-01-23) Business lead for Mpumalanga smallholders.. Motivation: Trackers with remote immobilization are a key tool for small business owners to regain control if a vehicle is hijacked.. Context: Mpumalanga provincial contact.","meta":{"additional_partner_field1":"Suburb","additional_partner_field2":"N/A Nelspruit"}}</t>
  </si>
  <si>
    <t>Ms Nyakallo Moletsane</t>
  </si>
  <si>
    <t>Northern Cape small business coordinator.</t>
  </si>
  <si>
    <t>"In the vast Northern Cape, vehicle recovery is only possible with satellite tracking; standard GSM signals are often insufficient."</t>
  </si>
  <si>
    <t>{"token":"426db05c-b15d-4e08-8924-06bb09572f61","method":"createLead","external_system_uid":"B2C - 9PointPlanWA","external_source_id":"10001","name":"Ms Nyakallo Moletsane","phone":"0834566153","lead_in_date":"22-March-2026 18:14:31","instance_uid":"793c83c2-f829-464c-ad82-a157cf85bf34","campaign_uid":"af7b2cbb-29a4-446b-b4fd-0199a060d9ad","email":"N/A","remark_message":"Source: Government Agriculture List (requested 2026-01-23) Northern Cape small business coordinator.. Motivation: In the vast Northern Cape, vehicle recovery is only possible with satellite tracking; standard GSM signals are often insufficient.. Context: Northern Cape provincial contact.","meta":{"additional_partner_field1":"Suburb","additional_partner_field2":"N/A Kimberley"}}</t>
  </si>
  <si>
    <t>Mr Kgotso Moeketsi</t>
  </si>
  <si>
    <t>Northern Cape entrepreneurial lead.</t>
  </si>
  <si>
    <t>"Protect the business's main transport assets from opportunistic theft during long-distance market delivery runs."</t>
  </si>
  <si>
    <t>{"token":"130578e9-ab6d-4fd5-979a-4dc5a1c9d163","method":"createLead","external_system_uid":"B2C - 9PointPlanWA","external_source_id":"10001","name":"Mr Kgotso Moeketsi","phone":"0829475612","lead_in_date":"22-March-2026 18:14:31","instance_uid":"793c83c2-f829-464c-ad82-a157cf85bf34","campaign_uid":"af7b2cbb-29a4-446b-b4fd-0199a060d9ad","email":"N/A","remark_message":"Source: Government Agriculture List (requested 2026-01-23) Northern Cape entrepreneurial lead.. Motivation: Protect the business's main transport assets from opportunistic theft during long-distance market delivery runs.. Context: Northern Cape provincial contact.","meta":{"additional_partner_field1":"Suburb","additional_partner_field2":"N/A Kimberley"}}</t>
  </si>
  <si>
    <t>Mr Richard Keothaile</t>
  </si>
  <si>
    <t>North West province small business lead.</t>
  </si>
  <si>
    <t>"Small businesses in the North West need tracking to monitor driver behavior and reduce fuel costs on high-mileage routes."</t>
  </si>
  <si>
    <t>{"token":"fffd27ab-1fb9-4079-8e94-0b05d73d691c","method":"createLead","external_system_uid":"B2C - 9PointPlanWA","external_source_id":"10001","name":"Mr Richard Keothaile","phone":"0765207291","lead_in_date":"22-March-2026 18:14:31","instance_uid":"793c83c2-f829-464c-ad82-a157cf85bf34","campaign_uid":"af7b2cbb-29a4-446b-b4fd-0199a060d9ad","email":"N/A","remark_message":"Source: Government Agriculture List (requested 2026-01-23) North West province small business lead.. Motivation: Small businesses in the North West need tracking to monitor driver behavior and reduce fuel costs on high-mileage routes.. Context: North West provincial contact.","meta":{"additional_partner_field1":"Suburb","additional_partner_field2":"N/A Mafikeng"}}</t>
  </si>
  <si>
    <t>Dr Mogale Sebopetsa</t>
  </si>
  <si>
    <t>Western Cape high-level small business advisor.</t>
  </si>
  <si>
    <t>"Commercial farmers must implement fleet tracking to ensure full compliance with modern agricultural logistics and insurance standards."</t>
  </si>
  <si>
    <t>{"token":"1133d45f-1528-4fda-a857-3b898d742a9b","method":"createLead","external_system_uid":"B2C - 9PointPlanWA","external_source_id":"10001","name":"Dr Mogale Sebopetsa","phone":"0824585291","lead_in_date":"22-March-2026 18:14:31","instance_uid":"793c83c2-f829-464c-ad82-a157cf85bf34","campaign_uid":"af7b2cbb-29a4-446b-b4fd-0199a060d9ad","email":"N/A","remark_message":"Source: Government Agriculture List (requested 2026-01-23) Western Cape high-level small business advisor.. Motivation: Commercial farmers must implement fleet tracking to ensure full compliance with modern agricultural logistics and insurance standards.. Context: Western Cape provincial contact.","meta":{"additional_partner_field1":"Suburb","additional_partner_field2":"N/A Cape Town"}}</t>
  </si>
  <si>
    <t>0827712303</t>
  </si>
  <si>
    <t>0829549452</t>
  </si>
  <si>
    <t>0718774843</t>
  </si>
  <si>
    <t>0824391871</t>
  </si>
  <si>
    <t>0823443567</t>
  </si>
  <si>
    <t>0829512386</t>
  </si>
  <si>
    <t>0834520635</t>
  </si>
  <si>
    <t>0746112704</t>
  </si>
  <si>
    <t>0824947638</t>
  </si>
  <si>
    <t>0825853499</t>
  </si>
  <si>
    <t>0832303326</t>
  </si>
  <si>
    <t>0769404502</t>
  </si>
  <si>
    <t>0714849122</t>
  </si>
  <si>
    <t>0825000207</t>
  </si>
  <si>
    <t>0825620724</t>
  </si>
  <si>
    <t>0829492041</t>
  </si>
  <si>
    <t>0823026826</t>
  </si>
  <si>
    <t>0822188070</t>
  </si>
  <si>
    <t>0823517198</t>
  </si>
  <si>
    <t>0731419514</t>
  </si>
  <si>
    <t>0614278876</t>
  </si>
  <si>
    <t>0719135405</t>
  </si>
  <si>
    <t>0692681461</t>
  </si>
  <si>
    <t>0780880507</t>
  </si>
  <si>
    <t>0824452313</t>
  </si>
  <si>
    <t>0712460127</t>
  </si>
  <si>
    <t>0823338666</t>
  </si>
  <si>
    <t>0824777271</t>
  </si>
  <si>
    <t>0825816218</t>
  </si>
  <si>
    <t>0827302202</t>
  </si>
  <si>
    <t>0824500435</t>
  </si>
  <si>
    <t>0761369136</t>
  </si>
  <si>
    <t>0826552265</t>
  </si>
  <si>
    <t>0738180664</t>
  </si>
  <si>
    <t>0699794997</t>
  </si>
  <si>
    <t>0835369119</t>
  </si>
  <si>
    <t>0828270644</t>
  </si>
  <si>
    <t>0822612790</t>
  </si>
  <si>
    <t>0742649317</t>
  </si>
  <si>
    <t>0712717734</t>
  </si>
  <si>
    <t>0824476116</t>
  </si>
  <si>
    <t>0117600000</t>
  </si>
  <si>
    <t>0832814242</t>
  </si>
  <si>
    <t>0823763206</t>
  </si>
  <si>
    <t>0827748944</t>
  </si>
  <si>
    <t>0844427844</t>
  </si>
  <si>
    <t>0715794977</t>
  </si>
  <si>
    <t>0823317200</t>
  </si>
  <si>
    <t>0822279926</t>
  </si>
  <si>
    <t>0416300350</t>
  </si>
  <si>
    <t>0659687954</t>
  </si>
  <si>
    <t>0828579495</t>
  </si>
  <si>
    <t>0827889641</t>
  </si>
  <si>
    <t>0828854270</t>
  </si>
  <si>
    <t>0714735462</t>
  </si>
  <si>
    <t>0825551234</t>
  </si>
  <si>
    <t>0825239489</t>
  </si>
  <si>
    <t>0824999382</t>
  </si>
  <si>
    <t>0728807919</t>
  </si>
  <si>
    <t>0829081983</t>
  </si>
  <si>
    <t>0823350409</t>
  </si>
  <si>
    <t>0825804681</t>
  </si>
  <si>
    <t>0828661660</t>
  </si>
  <si>
    <t>0834299755</t>
  </si>
  <si>
    <t>0837553213</t>
  </si>
  <si>
    <t>0823754742</t>
  </si>
  <si>
    <t>0828288638</t>
  </si>
  <si>
    <t>0753551258</t>
  </si>
  <si>
    <t>0605673495</t>
  </si>
  <si>
    <t>0842239563</t>
  </si>
  <si>
    <t>0824583723</t>
  </si>
  <si>
    <t>0219870160</t>
  </si>
  <si>
    <t>0713192831</t>
  </si>
  <si>
    <t>0325339222</t>
  </si>
  <si>
    <t>0764500116</t>
  </si>
  <si>
    <t>0813780420</t>
  </si>
  <si>
    <t>0662375766</t>
  </si>
  <si>
    <t>0764481294</t>
  </si>
  <si>
    <t>0828262635</t>
  </si>
  <si>
    <t>0825775612</t>
  </si>
  <si>
    <t>0825775622</t>
  </si>
  <si>
    <t>0829070544</t>
  </si>
  <si>
    <t>0825775581</t>
  </si>
  <si>
    <t>0716868158</t>
  </si>
  <si>
    <t>0828886282</t>
  </si>
  <si>
    <t>0834511056</t>
  </si>
  <si>
    <t>0829012716</t>
  </si>
  <si>
    <t>0829698672</t>
  </si>
  <si>
    <t>0834566153</t>
  </si>
  <si>
    <t>0829475612</t>
  </si>
  <si>
    <t>0765207291</t>
  </si>
  <si>
    <t>0824585291</t>
  </si>
  <si>
    <t xml:space="preserve">Telephone </t>
  </si>
  <si>
    <t>Status</t>
  </si>
  <si>
    <t>{"token":"611d6f1a-04a1-42eb-889f-c3ff8a29bf45","method":"createLead","external_system_uid":"B2C - 9PointPlanWA","external_source_id":"10001","name":"Danie Huyzers (DHE Electrical)","phone":"0827712303","lead_in_date":"22-March-2026 18:14:31","instance_uid":"793c83c2-f829-464c-ad82-a157cf85bf34","campaign_uid":"af7b2cbb-29a4-446b-b4fd-0199a060d9ad","email":"info@dhelectrical-sa.co.za","remark_message":"Source: Google - Electrician (requested 2026-03-15) Active small business providing emergency electrical repairs; high vehicle usage.. Motivation: A 24/7 emergency service requires a reliable tracker to ensure vehicle security during late-night call-outs in high-risk areas.. Context: Registered with ECA and Department of Labour.","meta":{"additional_partner_field1":"Suburb","additional_partner_field2":"Varies Johannesburg"}}</t>
  </si>
  <si>
    <t>{"token":"611d6f1a-04a1-42eb-889f-c3ff8a29bf45",</t>
  </si>
  <si>
    <t>sent</t>
  </si>
  <si>
    <t>status</t>
  </si>
  <si>
    <t>final</t>
  </si>
  <si>
    <t>p4</t>
  </si>
  <si>
    <t>p3</t>
  </si>
  <si>
    <t>p2</t>
  </si>
  <si>
    <t>p1</t>
  </si>
  <si>
    <t>To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</si>
</sst>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1A1A1A"/>
      <name val="Arial"/>
      <family val="2"/>
    </font>
    <font>
      <b/>
      <sz val="8"/>
      <color rgb="FF1A1A1A"/>
      <name val="Consolas"/>
      <family val="3"/>
    </font>
    <font>
      <sz val="7"/>
      <color rgb="FF1A1A1A"/>
      <name val="Consolas"/>
      <family val="3"/>
    </font>
    <font>
      <sz val="8"/>
      <color rgb="FF1A1A1A"/>
      <name val="Arial"/>
      <family val="2"/>
    </font>
    <font>
      <i/>
      <sz val="8"/>
      <color rgb="FF1A1A1A"/>
      <name val="Arial"/>
      <family val="2"/>
    </font>
    <font>
      <sz val="6"/>
      <color rgb="FF1A1A1A"/>
      <name val="Consolas"/>
      <family val="3"/>
    </font>
    <font>
      <i/>
      <sz val="7"/>
      <color rgb="FF1A1A1A"/>
      <name val="Consolas"/>
      <family val="3"/>
    </font>
    <font>
      <sz val="14"/>
      <color theme="1"/>
      <name val="Aptos Narrow"/>
      <family val="2"/>
      <scheme val="minor"/>
    </font>
    <font>
      <sz val="10"/>
      <color rgb="FF1A1A1A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2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irateplumbing.co.za/" TargetMode="External"/><Relationship Id="rId117" Type="http://schemas.openxmlformats.org/officeDocument/2006/relationships/hyperlink" Target="https://www.gov.za/" TargetMode="External"/><Relationship Id="rId21" Type="http://schemas.openxmlformats.org/officeDocument/2006/relationships/hyperlink" Target="https://gumtree.co.za/" TargetMode="External"/><Relationship Id="rId42" Type="http://schemas.openxmlformats.org/officeDocument/2006/relationships/hyperlink" Target="https://sirelo.co.za/" TargetMode="External"/><Relationship Id="rId47" Type="http://schemas.openxmlformats.org/officeDocument/2006/relationships/hyperlink" Target="https://issuu.com/african-cleaning-review" TargetMode="External"/><Relationship Id="rId63" Type="http://schemas.openxmlformats.org/officeDocument/2006/relationships/hyperlink" Target="https://www.gov.za/" TargetMode="External"/><Relationship Id="rId68" Type="http://schemas.openxmlformats.org/officeDocument/2006/relationships/hyperlink" Target="https://sandtoncleaners.co.za/" TargetMode="External"/><Relationship Id="rId84" Type="http://schemas.openxmlformats.org/officeDocument/2006/relationships/hyperlink" Target="https://gumtree.co.za/" TargetMode="External"/><Relationship Id="rId89" Type="http://schemas.openxmlformats.org/officeDocument/2006/relationships/hyperlink" Target="https://pirateplumbing.co.za/" TargetMode="External"/><Relationship Id="rId112" Type="http://schemas.openxmlformats.org/officeDocument/2006/relationships/hyperlink" Target="https://www.gov.za/" TargetMode="External"/><Relationship Id="rId16" Type="http://schemas.openxmlformats.org/officeDocument/2006/relationships/hyperlink" Target="https://responsecouriers.co.za/" TargetMode="External"/><Relationship Id="rId107" Type="http://schemas.openxmlformats.org/officeDocument/2006/relationships/hyperlink" Target="https://www.gov.za/" TargetMode="External"/><Relationship Id="rId11" Type="http://schemas.openxmlformats.org/officeDocument/2006/relationships/hyperlink" Target="https://www.gov.za/" TargetMode="External"/><Relationship Id="rId32" Type="http://schemas.openxmlformats.org/officeDocument/2006/relationships/hyperlink" Target="https://whalecoastdirectory.co.za/" TargetMode="External"/><Relationship Id="rId37" Type="http://schemas.openxmlformats.org/officeDocument/2006/relationships/hyperlink" Target="https://www.gov.za/" TargetMode="External"/><Relationship Id="rId53" Type="http://schemas.openxmlformats.org/officeDocument/2006/relationships/hyperlink" Target="https://tshwane.gov.za/" TargetMode="External"/><Relationship Id="rId58" Type="http://schemas.openxmlformats.org/officeDocument/2006/relationships/hyperlink" Target="https://mikebolhuis.co.za/" TargetMode="External"/><Relationship Id="rId74" Type="http://schemas.openxmlformats.org/officeDocument/2006/relationships/hyperlink" Target="https://kzntransport.gov.za/" TargetMode="External"/><Relationship Id="rId79" Type="http://schemas.openxmlformats.org/officeDocument/2006/relationships/hyperlink" Target="https://gumtree.co.za/" TargetMode="External"/><Relationship Id="rId102" Type="http://schemas.openxmlformats.org/officeDocument/2006/relationships/hyperlink" Target="https://whalecoastdirectory.co.za/" TargetMode="External"/><Relationship Id="rId5" Type="http://schemas.openxmlformats.org/officeDocument/2006/relationships/hyperlink" Target="https://greenplanetplumbing.co.za/" TargetMode="External"/><Relationship Id="rId90" Type="http://schemas.openxmlformats.org/officeDocument/2006/relationships/hyperlink" Target="https://hbplumbing.co.za/" TargetMode="External"/><Relationship Id="rId95" Type="http://schemas.openxmlformats.org/officeDocument/2006/relationships/hyperlink" Target="https://glowgomobilecarwash.co.za/" TargetMode="External"/><Relationship Id="rId22" Type="http://schemas.openxmlformats.org/officeDocument/2006/relationships/hyperlink" Target="https://gumtree.co.za/" TargetMode="External"/><Relationship Id="rId27" Type="http://schemas.openxmlformats.org/officeDocument/2006/relationships/hyperlink" Target="https://hbplumbing.co.za/" TargetMode="External"/><Relationship Id="rId43" Type="http://schemas.openxmlformats.org/officeDocument/2006/relationships/hyperlink" Target="https://freedomwon.co.za/" TargetMode="External"/><Relationship Id="rId48" Type="http://schemas.openxmlformats.org/officeDocument/2006/relationships/hyperlink" Target="https://issuu.com/african-cleaning-review" TargetMode="External"/><Relationship Id="rId64" Type="http://schemas.openxmlformats.org/officeDocument/2006/relationships/hyperlink" Target="https://www.gov.za/" TargetMode="External"/><Relationship Id="rId69" Type="http://schemas.openxmlformats.org/officeDocument/2006/relationships/hyperlink" Target="https://b4electrical.co.za/" TargetMode="External"/><Relationship Id="rId113" Type="http://schemas.openxmlformats.org/officeDocument/2006/relationships/hyperlink" Target="https://www.gov.za/" TargetMode="External"/><Relationship Id="rId118" Type="http://schemas.openxmlformats.org/officeDocument/2006/relationships/hyperlink" Target="https://www.gov.za/" TargetMode="External"/><Relationship Id="rId80" Type="http://schemas.openxmlformats.org/officeDocument/2006/relationships/hyperlink" Target="https://gumtree.co.za/" TargetMode="External"/><Relationship Id="rId85" Type="http://schemas.openxmlformats.org/officeDocument/2006/relationships/hyperlink" Target="https://gumtree.co.za/" TargetMode="External"/><Relationship Id="rId12" Type="http://schemas.openxmlformats.org/officeDocument/2006/relationships/hyperlink" Target="https://www.gov.za/" TargetMode="External"/><Relationship Id="rId17" Type="http://schemas.openxmlformats.org/officeDocument/2006/relationships/hyperlink" Target="https://smetjetafrica.com/" TargetMode="External"/><Relationship Id="rId33" Type="http://schemas.openxmlformats.org/officeDocument/2006/relationships/hyperlink" Target="https://whalecoastdirectory.co.za/" TargetMode="External"/><Relationship Id="rId38" Type="http://schemas.openxmlformats.org/officeDocument/2006/relationships/hyperlink" Target="https://www.gov.za/" TargetMode="External"/><Relationship Id="rId59" Type="http://schemas.openxmlformats.org/officeDocument/2006/relationships/hyperlink" Target="https://www.gov.za/" TargetMode="External"/><Relationship Id="rId103" Type="http://schemas.openxmlformats.org/officeDocument/2006/relationships/hyperlink" Target="https://whalecoastdirectory.co.za/" TargetMode="External"/><Relationship Id="rId108" Type="http://schemas.openxmlformats.org/officeDocument/2006/relationships/hyperlink" Target="https://www.gov.za/" TargetMode="External"/><Relationship Id="rId54" Type="http://schemas.openxmlformats.org/officeDocument/2006/relationships/hyperlink" Target="https://ntabankulu.gov.za/" TargetMode="External"/><Relationship Id="rId70" Type="http://schemas.openxmlformats.org/officeDocument/2006/relationships/hyperlink" Target="https://laatzelectrical.co.za/" TargetMode="External"/><Relationship Id="rId75" Type="http://schemas.openxmlformats.org/officeDocument/2006/relationships/hyperlink" Target="https://uber.com/" TargetMode="External"/><Relationship Id="rId91" Type="http://schemas.openxmlformats.org/officeDocument/2006/relationships/hyperlink" Target="https://handymanhomes.co.za/" TargetMode="External"/><Relationship Id="rId96" Type="http://schemas.openxmlformats.org/officeDocument/2006/relationships/hyperlink" Target="https://whalecoastdirectory.co.za/" TargetMode="External"/><Relationship Id="rId1" Type="http://schemas.openxmlformats.org/officeDocument/2006/relationships/hyperlink" Target="https://dhelectrical-sa.co.za/" TargetMode="External"/><Relationship Id="rId6" Type="http://schemas.openxmlformats.org/officeDocument/2006/relationships/hyperlink" Target="https://bni.co.za/" TargetMode="External"/><Relationship Id="rId23" Type="http://schemas.openxmlformats.org/officeDocument/2006/relationships/hyperlink" Target="https://gumtree.co.za/" TargetMode="External"/><Relationship Id="rId28" Type="http://schemas.openxmlformats.org/officeDocument/2006/relationships/hyperlink" Target="https://fixitmaintenance.co.za/" TargetMode="External"/><Relationship Id="rId49" Type="http://schemas.openxmlformats.org/officeDocument/2006/relationships/hyperlink" Target="https://oroafrica.com/" TargetMode="External"/><Relationship Id="rId114" Type="http://schemas.openxmlformats.org/officeDocument/2006/relationships/hyperlink" Target="https://www.gov.za/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s://glowgomobilecarwash.co.za/" TargetMode="External"/><Relationship Id="rId31" Type="http://schemas.openxmlformats.org/officeDocument/2006/relationships/hyperlink" Target="https://laatzelectrical.co.za/" TargetMode="External"/><Relationship Id="rId44" Type="http://schemas.openxmlformats.org/officeDocument/2006/relationships/hyperlink" Target="https://freedomwon.co.za/" TargetMode="External"/><Relationship Id="rId52" Type="http://schemas.openxmlformats.org/officeDocument/2006/relationships/hyperlink" Target="https://tshwane.gov.za/" TargetMode="External"/><Relationship Id="rId60" Type="http://schemas.openxmlformats.org/officeDocument/2006/relationships/hyperlink" Target="https://www.gov.za/" TargetMode="External"/><Relationship Id="rId65" Type="http://schemas.openxmlformats.org/officeDocument/2006/relationships/hyperlink" Target="https://fixitmaintenance.co.za/" TargetMode="External"/><Relationship Id="rId73" Type="http://schemas.openxmlformats.org/officeDocument/2006/relationships/hyperlink" Target="https://kzntransport.gov.za/" TargetMode="External"/><Relationship Id="rId78" Type="http://schemas.openxmlformats.org/officeDocument/2006/relationships/hyperlink" Target="https://gumtree.co.za/" TargetMode="External"/><Relationship Id="rId81" Type="http://schemas.openxmlformats.org/officeDocument/2006/relationships/hyperlink" Target="https://gumtree.co.za/" TargetMode="External"/><Relationship Id="rId86" Type="http://schemas.openxmlformats.org/officeDocument/2006/relationships/hyperlink" Target="https://gumtree.co.za/" TargetMode="External"/><Relationship Id="rId94" Type="http://schemas.openxmlformats.org/officeDocument/2006/relationships/hyperlink" Target="https://laatzelectrical.co.za/" TargetMode="External"/><Relationship Id="rId99" Type="http://schemas.openxmlformats.org/officeDocument/2006/relationships/hyperlink" Target="https://whalecoastdirectory.co.za/" TargetMode="External"/><Relationship Id="rId101" Type="http://schemas.openxmlformats.org/officeDocument/2006/relationships/hyperlink" Target="https://whalecoastdirectory.co.za/" TargetMode="External"/><Relationship Id="rId4" Type="http://schemas.openxmlformats.org/officeDocument/2006/relationships/hyperlink" Target="https://marshallplumbing.co.za/" TargetMode="External"/><Relationship Id="rId9" Type="http://schemas.openxmlformats.org/officeDocument/2006/relationships/hyperlink" Target="https://gumtree.co.za/" TargetMode="External"/><Relationship Id="rId13" Type="http://schemas.openxmlformats.org/officeDocument/2006/relationships/hyperlink" Target="https://www.gov.za/" TargetMode="External"/><Relationship Id="rId18" Type="http://schemas.openxmlformats.org/officeDocument/2006/relationships/hyperlink" Target="https://caperiverstone.co.za/" TargetMode="External"/><Relationship Id="rId39" Type="http://schemas.openxmlformats.org/officeDocument/2006/relationships/hyperlink" Target="https://issuu.com/actionads" TargetMode="External"/><Relationship Id="rId109" Type="http://schemas.openxmlformats.org/officeDocument/2006/relationships/hyperlink" Target="https://www.gov.za/" TargetMode="External"/><Relationship Id="rId34" Type="http://schemas.openxmlformats.org/officeDocument/2006/relationships/hyperlink" Target="https://whalecoastdirectory.co.za/" TargetMode="External"/><Relationship Id="rId50" Type="http://schemas.openxmlformats.org/officeDocument/2006/relationships/hyperlink" Target="https://bcnelectrical.co.za/" TargetMode="External"/><Relationship Id="rId55" Type="http://schemas.openxmlformats.org/officeDocument/2006/relationships/hyperlink" Target="https://windows.net/sacaa" TargetMode="External"/><Relationship Id="rId76" Type="http://schemas.openxmlformats.org/officeDocument/2006/relationships/hyperlink" Target="https://uber.com/" TargetMode="External"/><Relationship Id="rId97" Type="http://schemas.openxmlformats.org/officeDocument/2006/relationships/hyperlink" Target="https://whalecoastdirectory.co.za/" TargetMode="External"/><Relationship Id="rId104" Type="http://schemas.openxmlformats.org/officeDocument/2006/relationships/hyperlink" Target="https://www.gov.za/" TargetMode="External"/><Relationship Id="rId7" Type="http://schemas.openxmlformats.org/officeDocument/2006/relationships/hyperlink" Target="https://b4electrical.co.za/" TargetMode="External"/><Relationship Id="rId71" Type="http://schemas.openxmlformats.org/officeDocument/2006/relationships/hyperlink" Target="https://dffe.gov.za/" TargetMode="External"/><Relationship Id="rId92" Type="http://schemas.openxmlformats.org/officeDocument/2006/relationships/hyperlink" Target="https://khulanathielectrical.co.za/" TargetMode="External"/><Relationship Id="rId2" Type="http://schemas.openxmlformats.org/officeDocument/2006/relationships/hyperlink" Target="https://excellelectrical.co.za/" TargetMode="External"/><Relationship Id="rId29" Type="http://schemas.openxmlformats.org/officeDocument/2006/relationships/hyperlink" Target="https://mantleprojects.co.za/" TargetMode="External"/><Relationship Id="rId24" Type="http://schemas.openxmlformats.org/officeDocument/2006/relationships/hyperlink" Target="https://issuu.com/actionads" TargetMode="External"/><Relationship Id="rId40" Type="http://schemas.openxmlformats.org/officeDocument/2006/relationships/hyperlink" Target="https://247plumberpretoria.co.za/" TargetMode="External"/><Relationship Id="rId45" Type="http://schemas.openxmlformats.org/officeDocument/2006/relationships/hyperlink" Target="https://freedomwon.co.za/" TargetMode="External"/><Relationship Id="rId66" Type="http://schemas.openxmlformats.org/officeDocument/2006/relationships/hyperlink" Target="https://fixitmaintenance.co.za/" TargetMode="External"/><Relationship Id="rId87" Type="http://schemas.openxmlformats.org/officeDocument/2006/relationships/hyperlink" Target="https://sphtransport.co.za/" TargetMode="External"/><Relationship Id="rId110" Type="http://schemas.openxmlformats.org/officeDocument/2006/relationships/hyperlink" Target="https://www.gov.za/" TargetMode="External"/><Relationship Id="rId115" Type="http://schemas.openxmlformats.org/officeDocument/2006/relationships/hyperlink" Target="https://www.gov.za/" TargetMode="External"/><Relationship Id="rId61" Type="http://schemas.openxmlformats.org/officeDocument/2006/relationships/hyperlink" Target="https://www.gov.za/" TargetMode="External"/><Relationship Id="rId82" Type="http://schemas.openxmlformats.org/officeDocument/2006/relationships/hyperlink" Target="https://gumtree.co.za/" TargetMode="External"/><Relationship Id="rId19" Type="http://schemas.openxmlformats.org/officeDocument/2006/relationships/hyperlink" Target="https://foxhandyman.co.za/" TargetMode="External"/><Relationship Id="rId14" Type="http://schemas.openxmlformats.org/officeDocument/2006/relationships/hyperlink" Target="https://site123.me/" TargetMode="External"/><Relationship Id="rId30" Type="http://schemas.openxmlformats.org/officeDocument/2006/relationships/hyperlink" Target="https://khulanathielectrical.co.za/" TargetMode="External"/><Relationship Id="rId35" Type="http://schemas.openxmlformats.org/officeDocument/2006/relationships/hyperlink" Target="https://whalecoastdirectory.co.za/" TargetMode="External"/><Relationship Id="rId56" Type="http://schemas.openxmlformats.org/officeDocument/2006/relationships/hyperlink" Target="https://windows.net/sacaa" TargetMode="External"/><Relationship Id="rId77" Type="http://schemas.openxmlformats.org/officeDocument/2006/relationships/hyperlink" Target="https://gumtree.co.za/" TargetMode="External"/><Relationship Id="rId100" Type="http://schemas.openxmlformats.org/officeDocument/2006/relationships/hyperlink" Target="https://whalecoastdirectory.co.za/" TargetMode="External"/><Relationship Id="rId105" Type="http://schemas.openxmlformats.org/officeDocument/2006/relationships/hyperlink" Target="https://www.gov.za/" TargetMode="External"/><Relationship Id="rId8" Type="http://schemas.openxmlformats.org/officeDocument/2006/relationships/hyperlink" Target="https://gumtree.co.za/" TargetMode="External"/><Relationship Id="rId51" Type="http://schemas.openxmlformats.org/officeDocument/2006/relationships/hyperlink" Target="https://freedomwon.co.za/" TargetMode="External"/><Relationship Id="rId72" Type="http://schemas.openxmlformats.org/officeDocument/2006/relationships/hyperlink" Target="https://westerncape.gov.za/" TargetMode="External"/><Relationship Id="rId93" Type="http://schemas.openxmlformats.org/officeDocument/2006/relationships/hyperlink" Target="https://bcnelectrical.co.za/" TargetMode="External"/><Relationship Id="rId98" Type="http://schemas.openxmlformats.org/officeDocument/2006/relationships/hyperlink" Target="https://whalecoastdirectory.co.za/" TargetMode="External"/><Relationship Id="rId3" Type="http://schemas.openxmlformats.org/officeDocument/2006/relationships/hyperlink" Target="https://bcnelectrical.co.za/" TargetMode="External"/><Relationship Id="rId25" Type="http://schemas.openxmlformats.org/officeDocument/2006/relationships/hyperlink" Target="https://issuu.com/actionads" TargetMode="External"/><Relationship Id="rId46" Type="http://schemas.openxmlformats.org/officeDocument/2006/relationships/hyperlink" Target="https://solarchargesolutions.co.za/" TargetMode="External"/><Relationship Id="rId67" Type="http://schemas.openxmlformats.org/officeDocument/2006/relationships/hyperlink" Target="https://gillcoopergardens.co.za/" TargetMode="External"/><Relationship Id="rId116" Type="http://schemas.openxmlformats.org/officeDocument/2006/relationships/hyperlink" Target="https://www.gov.za/" TargetMode="External"/><Relationship Id="rId20" Type="http://schemas.openxmlformats.org/officeDocument/2006/relationships/hyperlink" Target="https://gumtree.co.za/" TargetMode="External"/><Relationship Id="rId41" Type="http://schemas.openxmlformats.org/officeDocument/2006/relationships/hyperlink" Target="https://matrix.co.za/" TargetMode="External"/><Relationship Id="rId62" Type="http://schemas.openxmlformats.org/officeDocument/2006/relationships/hyperlink" Target="https://www.gov.za/" TargetMode="External"/><Relationship Id="rId83" Type="http://schemas.openxmlformats.org/officeDocument/2006/relationships/hyperlink" Target="https://gumtree.co.za/" TargetMode="External"/><Relationship Id="rId88" Type="http://schemas.openxmlformats.org/officeDocument/2006/relationships/hyperlink" Target="https://marshallplumbing.co.za/" TargetMode="External"/><Relationship Id="rId111" Type="http://schemas.openxmlformats.org/officeDocument/2006/relationships/hyperlink" Target="https://www.gov.za/" TargetMode="External"/><Relationship Id="rId15" Type="http://schemas.openxmlformats.org/officeDocument/2006/relationships/hyperlink" Target="https://gillcoopergardens.co.za/" TargetMode="External"/><Relationship Id="rId36" Type="http://schemas.openxmlformats.org/officeDocument/2006/relationships/hyperlink" Target="https://www.gov.za/" TargetMode="External"/><Relationship Id="rId57" Type="http://schemas.openxmlformats.org/officeDocument/2006/relationships/hyperlink" Target="https://bolwasecurityservices.co.za/" TargetMode="External"/><Relationship Id="rId106" Type="http://schemas.openxmlformats.org/officeDocument/2006/relationships/hyperlink" Target="https://www.gov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104A-62D1-425F-BED9-D2B4C0D6F030}">
  <sheetPr filterMode="1"/>
  <dimension ref="A1:P119"/>
  <sheetViews>
    <sheetView tabSelected="1" workbookViewId="0">
      <selection activeCell="H60" sqref="H60"/>
    </sheetView>
  </sheetViews>
  <sheetFormatPr defaultRowHeight="54" customHeight="1" x14ac:dyDescent="0.3"/>
  <cols>
    <col min="1" max="1" width="8.88671875" style="1"/>
    <col min="2" max="3" width="19.44140625" style="1" customWidth="1"/>
    <col min="4" max="4" width="11" style="3" bestFit="1" customWidth="1"/>
    <col min="5" max="7" width="19.44140625" style="1" customWidth="1"/>
    <col min="8" max="8" width="68.109375" style="1" customWidth="1"/>
    <col min="9" max="11" width="19.44140625" style="1" customWidth="1"/>
    <col min="12" max="12" width="6.44140625" style="1" customWidth="1"/>
    <col min="13" max="13" width="12.6640625" style="1" customWidth="1"/>
    <col min="14" max="14" width="8.88671875" style="1"/>
    <col min="15" max="15" width="27.77734375" style="1" customWidth="1"/>
    <col min="16" max="16384" width="8.88671875" style="1"/>
  </cols>
  <sheetData>
    <row r="1" spans="1:16" ht="14.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681</v>
      </c>
      <c r="J1" s="1" t="s">
        <v>691</v>
      </c>
      <c r="K1" s="1" t="s">
        <v>690</v>
      </c>
      <c r="L1" s="1" t="s">
        <v>682</v>
      </c>
      <c r="M1" s="1" t="s">
        <v>689</v>
      </c>
      <c r="N1" s="1" t="s">
        <v>688</v>
      </c>
      <c r="O1" s="1" t="s">
        <v>687</v>
      </c>
      <c r="P1" s="1" t="s">
        <v>686</v>
      </c>
    </row>
    <row r="2" spans="1:16" ht="409.6" hidden="1" x14ac:dyDescent="0.3">
      <c r="A2" s="1">
        <v>4</v>
      </c>
      <c r="B2" s="4" t="s">
        <v>8</v>
      </c>
      <c r="C2" s="5" t="s">
        <v>9</v>
      </c>
      <c r="D2" s="6" t="s">
        <v>589</v>
      </c>
      <c r="E2" s="7" t="s">
        <v>10</v>
      </c>
      <c r="F2" s="8" t="s">
        <v>11</v>
      </c>
      <c r="G2" s="9" t="s">
        <v>12</v>
      </c>
      <c r="H2" s="13" t="s">
        <v>683</v>
      </c>
      <c r="I2" s="1" t="str">
        <f>TEXT(D2,"0000000000")</f>
        <v>0827712303</v>
      </c>
      <c r="J2" s="1" t="s">
        <v>684</v>
      </c>
      <c r="K2" s="1">
        <f>SEARCH("method",H2,1)</f>
        <v>50</v>
      </c>
      <c r="L2" s="12">
        <f>SEARCH("external_source_id",H2,1)</f>
        <v>115</v>
      </c>
      <c r="M2" s="1" t="str">
        <f>MID(H2,K2-1,L2+20-K2+2)</f>
        <v>"method":"createLead","external_system_uid":"B2C - 9PointPlanWA","external_source_id":"</v>
      </c>
      <c r="N2" s="1" t="str">
        <f>MID(H2,L2+26,1000)</f>
        <v>","name":"Danie Huyzers (DHE Electrical)","phone":"0827712303","lead_in_date":"22-March-2026 18:14:31","instance_uid":"793c83c2-f829-464c-ad82-a157cf85bf34","campaign_uid":"af7b2cbb-29a4-446b-b4fd-0199a060d9ad","email":"info@dhelectrical-sa.co.za","remark_message":"Source: Google - Electrician (requested 2026-03-15) Active small business providing emergency electrical repairs; high vehicle usage.. Motivation: A 24/7 emergency service requires a reliable tracker to ensure vehicle security during late-night call-outs in high-risk areas.. Context: Registered with ECA and Department of Labour.","meta":{"additional_partner_field1":"Suburb","additional_partner_field2":"Varies Johannesburg"}}</v>
      </c>
      <c r="O2" s="1" t="str">
        <f>_xlfn.CONCAT(J2,M2,A2,N2)</f>
        <v>{"token":"611d6f1a-04a1-42eb-889f-c3ff8a29bf45","method":"createLead","external_system_uid":"B2C - 9PointPlanWA","external_source_id":"4","name":"Danie Huyzers (DHE Electrical)","phone":"0827712303","lead_in_date":"22-March-2026 18:14:31","instance_uid":"793c83c2-f829-464c-ad82-a157cf85bf34","campaign_uid":"af7b2cbb-29a4-446b-b4fd-0199a060d9ad","email":"info@dhelectrical-sa.co.za","remark_message":"Source: Google - Electrician (requested 2026-03-15) Active small business providing emergency electrical repairs; high vehicle usage.. Motivation: A 24/7 emergency service requires a reliable tracker to ensure vehicle security during late-night call-outs in high-risk areas.. Context: Registered with ECA and Department of Labour.","meta":{"additional_partner_field1":"Suburb","additional_partner_field2":"Varies Johannesburg"}}</v>
      </c>
      <c r="P2" s="1" t="s">
        <v>685</v>
      </c>
    </row>
    <row r="3" spans="1:16" ht="54" hidden="1" customHeight="1" x14ac:dyDescent="0.3">
      <c r="A3" s="1">
        <v>5</v>
      </c>
      <c r="B3" s="4" t="s">
        <v>8</v>
      </c>
      <c r="C3" s="5" t="s">
        <v>13</v>
      </c>
      <c r="D3" s="6" t="s">
        <v>590</v>
      </c>
      <c r="E3" s="7" t="s">
        <v>14</v>
      </c>
      <c r="F3" s="8" t="s">
        <v>15</v>
      </c>
      <c r="G3" s="9" t="s">
        <v>16</v>
      </c>
      <c r="H3" s="11" t="s">
        <v>17</v>
      </c>
      <c r="I3" s="1" t="str">
        <f t="shared" ref="I3:I66" si="0">TEXT(D3,"0000000000")</f>
        <v>0829549452</v>
      </c>
      <c r="J3" s="1" t="s">
        <v>684</v>
      </c>
      <c r="K3" s="1">
        <f t="shared" ref="K3:K66" si="1">SEARCH("method",H3,1)</f>
        <v>50</v>
      </c>
      <c r="L3" s="12">
        <f t="shared" ref="L3:L66" si="2">SEARCH("external_source_id",H3,1)</f>
        <v>115</v>
      </c>
      <c r="M3" s="1" t="str">
        <f t="shared" ref="M3:M66" si="3">MID(H3,K3-1,L3+20-K3+2)</f>
        <v>"method":"createLead","external_system_uid":"B2C - 9PointPlanWA","external_source_id":"</v>
      </c>
      <c r="N3" s="1" t="str">
        <f t="shared" ref="N3:N66" si="4">MID(H3,L3+26,1000)</f>
        <v>","name":"Daniel (Excell Electrical)","phone":"0829549452","lead_in_date":"22-March-2026 18:14:31","instance_uid":"793c83c2-f829-464c-ad82-a157cf85bf34","campaign_uid":"af7b2cbb-29a4-446b-b4fd-0199a060d9ad","email":"daniel@excellelectrical.co.za","remark_message":"Source: Google - Electrician (requested 2026-03-10) Commercial and industrial electrician with a mobile team.. Motivation: Protect specialized tools and equipment inside work vans, which are prime targets for opportunistic theft.. Context: Focused on solar and industrial maintenance.","meta":{"additional_partner_field1":"Suburb","additional_partner_field2":"Brackenfell Cape Town"}}</v>
      </c>
      <c r="O3" s="1" t="str">
        <f t="shared" ref="O3:O66" si="5">_xlfn.CONCAT(J3,M3,A3,N3)</f>
        <v>{"token":"611d6f1a-04a1-42eb-889f-c3ff8a29bf45","method":"createLead","external_system_uid":"B2C - 9PointPlanWA","external_source_id":"5","name":"Daniel (Excell Electrical)","phone":"0829549452","lead_in_date":"22-March-2026 18:14:31","instance_uid":"793c83c2-f829-464c-ad82-a157cf85bf34","campaign_uid":"af7b2cbb-29a4-446b-b4fd-0199a060d9ad","email":"daniel@excellelectrical.co.za","remark_message":"Source: Google - Electrician (requested 2026-03-10) Commercial and industrial electrician with a mobile team.. Motivation: Protect specialized tools and equipment inside work vans, which are prime targets for opportunistic theft.. Context: Focused on solar and industrial maintenance.","meta":{"additional_partner_field1":"Suburb","additional_partner_field2":"Brackenfell Cape Town"}}</v>
      </c>
      <c r="P3" s="1" t="s">
        <v>685</v>
      </c>
    </row>
    <row r="4" spans="1:16" ht="54" hidden="1" customHeight="1" x14ac:dyDescent="0.3">
      <c r="A4" s="1">
        <v>6</v>
      </c>
      <c r="B4" s="4" t="s">
        <v>8</v>
      </c>
      <c r="C4" s="5" t="s">
        <v>18</v>
      </c>
      <c r="D4" s="6" t="s">
        <v>591</v>
      </c>
      <c r="E4" s="7" t="s">
        <v>19</v>
      </c>
      <c r="F4" s="8" t="s">
        <v>20</v>
      </c>
      <c r="G4" s="9" t="s">
        <v>21</v>
      </c>
      <c r="H4" s="11" t="s">
        <v>22</v>
      </c>
      <c r="I4" s="1" t="str">
        <f t="shared" si="0"/>
        <v>0718774843</v>
      </c>
      <c r="J4" s="1" t="s">
        <v>684</v>
      </c>
      <c r="K4" s="1">
        <f t="shared" si="1"/>
        <v>50</v>
      </c>
      <c r="L4" s="12">
        <f t="shared" si="2"/>
        <v>115</v>
      </c>
      <c r="M4" s="1" t="str">
        <f t="shared" si="3"/>
        <v>"method":"createLead","external_system_uid":"B2C - 9PointPlanWA","external_source_id":"</v>
      </c>
      <c r="N4" s="1" t="str">
        <f t="shared" si="4"/>
        <v>","name":"Shane (Blue Cord Nine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Mobile electrical contractor specializing in maintenance and projects.. Motivation: Ensure that the project team arrives at client sites on time and track fuel efficiency for a multi-vehicle operation.. Context: BCN is a well-established small contractor in KZN.","meta":{"additional_partner_field1":"Suburb","additional_partner_field2":"Glenore Durban"}}</v>
      </c>
      <c r="O4" s="1" t="str">
        <f t="shared" si="5"/>
        <v>{"token":"611d6f1a-04a1-42eb-889f-c3ff8a29bf45","method":"createLead","external_system_uid":"B2C - 9PointPlanWA","external_source_id":"6","name":"Shane (Blue Cord Nine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Mobile electrical contractor specializing in maintenance and projects.. Motivation: Ensure that the project team arrives at client sites on time and track fuel efficiency for a multi-vehicle operation.. Context: BCN is a well-established small contractor in KZN.","meta":{"additional_partner_field1":"Suburb","additional_partner_field2":"Glenore Durban"}}</v>
      </c>
      <c r="P4" s="1" t="s">
        <v>685</v>
      </c>
    </row>
    <row r="5" spans="1:16" ht="54" hidden="1" customHeight="1" x14ac:dyDescent="0.3">
      <c r="A5" s="1">
        <v>7</v>
      </c>
      <c r="B5" s="4" t="s">
        <v>23</v>
      </c>
      <c r="C5" s="5" t="s">
        <v>24</v>
      </c>
      <c r="D5" s="6" t="s">
        <v>592</v>
      </c>
      <c r="E5" s="7" t="s">
        <v>25</v>
      </c>
      <c r="F5" s="8" t="s">
        <v>26</v>
      </c>
      <c r="G5" s="9" t="s">
        <v>27</v>
      </c>
      <c r="H5" s="11" t="s">
        <v>28</v>
      </c>
      <c r="I5" s="1" t="str">
        <f t="shared" si="0"/>
        <v>0824391871</v>
      </c>
      <c r="J5" s="1" t="s">
        <v>684</v>
      </c>
      <c r="K5" s="1">
        <f t="shared" si="1"/>
        <v>50</v>
      </c>
      <c r="L5" s="12">
        <f t="shared" si="2"/>
        <v>115</v>
      </c>
      <c r="M5" s="1" t="str">
        <f t="shared" si="3"/>
        <v>"method":"createLead","external_system_uid":"B2C - 9PointPlanWA","external_source_id":"</v>
      </c>
      <c r="N5" s="1" t="str">
        <f t="shared" si="4"/>
        <v>","name":"Marshall (Marshall Plumbing)","phone":"0824391871","lead_in_date":"22-March-2026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Owner-operated plumbing service with high local mobility.. Motivation: As an owner-operator, losing a vehicle to theft would halt all income; a tracker is essential for business continuity.. Context: Specializes in solar systems and leak detection.","meta":{"additional_partner_field1":"Suburb","additional_partner_field2":"Table View Cape Town"}}</v>
      </c>
      <c r="O5" s="1" t="str">
        <f t="shared" si="5"/>
        <v>{"token":"611d6f1a-04a1-42eb-889f-c3ff8a29bf45","method":"createLead","external_system_uid":"B2C - 9PointPlanWA","external_source_id":"7","name":"Marshall (Marshall Plumbing)","phone":"0824391871","lead_in_date":"22-March-2026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Owner-operated plumbing service with high local mobility.. Motivation: As an owner-operator, losing a vehicle to theft would halt all income; a tracker is essential for business continuity.. Context: Specializes in solar systems and leak detection.","meta":{"additional_partner_field1":"Suburb","additional_partner_field2":"Table View Cape Town"}}</v>
      </c>
      <c r="P5" s="1" t="s">
        <v>685</v>
      </c>
    </row>
    <row r="6" spans="1:16" ht="54" hidden="1" customHeight="1" x14ac:dyDescent="0.3">
      <c r="A6" s="1">
        <v>8</v>
      </c>
      <c r="B6" s="4" t="s">
        <v>23</v>
      </c>
      <c r="C6" s="5" t="s">
        <v>29</v>
      </c>
      <c r="D6" s="6" t="s">
        <v>593</v>
      </c>
      <c r="E6" s="7" t="s">
        <v>30</v>
      </c>
      <c r="F6" s="8" t="s">
        <v>31</v>
      </c>
      <c r="G6" s="9" t="s">
        <v>32</v>
      </c>
      <c r="H6" s="11" t="s">
        <v>33</v>
      </c>
      <c r="I6" s="1" t="str">
        <f t="shared" si="0"/>
        <v>0823443567</v>
      </c>
      <c r="J6" s="1" t="s">
        <v>684</v>
      </c>
      <c r="K6" s="1">
        <f t="shared" si="1"/>
        <v>50</v>
      </c>
      <c r="L6" s="12">
        <f t="shared" si="2"/>
        <v>115</v>
      </c>
      <c r="M6" s="1" t="str">
        <f t="shared" si="3"/>
        <v>"method":"createLead","external_system_uid":"B2C - 9PointPlanWA","external_source_id":"</v>
      </c>
      <c r="N6" s="1" t="str">
        <f t="shared" si="4"/>
        <v>","name":"Chantelle (Green Planet Plumbing)","phone":"0823443567","lead_in_date":"22-March-2026 18:14:31","instance_uid":"793c83c2-f829-464c-ad82-a157cf85bf34","campaign_uid":"af7b2cbb-29a4-446b-b4fd-0199a060d9ad","email":"chantelle@greenplanetplumbing.co.za","remark_message":"Source: Google - Plumber (requested 2026-02-16) Eco-friendly plumbing service operating across multiple regions.. Motivation: Tracking helps in managing logistics between Gauteng and Western Cape branches efficiently.. Context: Provides 24-hour repair services.","meta":{"additional_partner_field1":"Suburb","additional_partner_field2":"Parklands Cape Town"}}</v>
      </c>
      <c r="O6" s="1" t="str">
        <f t="shared" si="5"/>
        <v>{"token":"611d6f1a-04a1-42eb-889f-c3ff8a29bf45","method":"createLead","external_system_uid":"B2C - 9PointPlanWA","external_source_id":"8","name":"Chantelle (Green Planet Plumbing)","phone":"0823443567","lead_in_date":"22-March-2026 18:14:31","instance_uid":"793c83c2-f829-464c-ad82-a157cf85bf34","campaign_uid":"af7b2cbb-29a4-446b-b4fd-0199a060d9ad","email":"chantelle@greenplanetplumbing.co.za","remark_message":"Source: Google - Plumber (requested 2026-02-16) Eco-friendly plumbing service operating across multiple regions.. Motivation: Tracking helps in managing logistics between Gauteng and Western Cape branches efficiently.. Context: Provides 24-hour repair services.","meta":{"additional_partner_field1":"Suburb","additional_partner_field2":"Parklands Cape Town"}}</v>
      </c>
      <c r="P6" s="1" t="s">
        <v>685</v>
      </c>
    </row>
    <row r="7" spans="1:16" ht="54" hidden="1" customHeight="1" x14ac:dyDescent="0.3">
      <c r="A7" s="1">
        <v>9</v>
      </c>
      <c r="B7" s="4" t="s">
        <v>34</v>
      </c>
      <c r="C7" s="5" t="s">
        <v>35</v>
      </c>
      <c r="D7" s="6" t="s">
        <v>594</v>
      </c>
      <c r="E7" s="10" t="s">
        <v>7</v>
      </c>
      <c r="F7" s="8" t="s">
        <v>36</v>
      </c>
      <c r="G7" s="9" t="s">
        <v>37</v>
      </c>
      <c r="H7" s="11" t="s">
        <v>38</v>
      </c>
      <c r="I7" s="1" t="str">
        <f t="shared" si="0"/>
        <v>0829512386</v>
      </c>
      <c r="J7" s="1" t="s">
        <v>684</v>
      </c>
      <c r="K7" s="1">
        <f t="shared" si="1"/>
        <v>50</v>
      </c>
      <c r="L7" s="12">
        <f t="shared" si="2"/>
        <v>115</v>
      </c>
      <c r="M7" s="1" t="str">
        <f t="shared" si="3"/>
        <v>"method":"createLead","external_system_uid":"B2C - 9PointPlanWA","external_source_id":"</v>
      </c>
      <c r="N7" s="1" t="str">
        <f t="shared" si="4"/>
        <v>","name":"Jeff McClure (ACE Handyman)","phone":"0829512386","lead_in_date":"22-March-2026 18:14:31","instance_uid":"793c83c2-f829-464c-ad82-a157cf85bf34","campaign_uid":"af7b2cbb-29a4-446b-b4fd-0199a060d9ad","email":"N/A","remark_message":"Source: BNI Directory - Handyman (requested 2026-03-01) Small business focused on commercial and office maintenance.. Motivation: Commercial clients often require vendors to have vehicle tracking for safety and accountability when working on their premises.. Context: Member of BNI Southern Lights.","meta":{"additional_partner_field1":"Suburb","additional_partner_field2":"Walkers Fruit Farms Johannesburg"}}</v>
      </c>
      <c r="O7" s="1" t="str">
        <f t="shared" si="5"/>
        <v>{"token":"611d6f1a-04a1-42eb-889f-c3ff8a29bf45","method":"createLead","external_system_uid":"B2C - 9PointPlanWA","external_source_id":"9","name":"Jeff McClure (ACE Handyman)","phone":"0829512386","lead_in_date":"22-March-2026 18:14:31","instance_uid":"793c83c2-f829-464c-ad82-a157cf85bf34","campaign_uid":"af7b2cbb-29a4-446b-b4fd-0199a060d9ad","email":"N/A","remark_message":"Source: BNI Directory - Handyman (requested 2026-03-01) Small business focused on commercial and office maintenance.. Motivation: Commercial clients often require vendors to have vehicle tracking for safety and accountability when working on their premises.. Context: Member of BNI Southern Lights.","meta":{"additional_partner_field1":"Suburb","additional_partner_field2":"Walkers Fruit Farms Johannesburg"}}</v>
      </c>
      <c r="P7" s="1" t="s">
        <v>685</v>
      </c>
    </row>
    <row r="8" spans="1:16" ht="54" hidden="1" customHeight="1" x14ac:dyDescent="0.3">
      <c r="A8" s="1">
        <v>10</v>
      </c>
      <c r="B8" s="4" t="s">
        <v>8</v>
      </c>
      <c r="C8" s="5" t="s">
        <v>39</v>
      </c>
      <c r="D8" s="6" t="s">
        <v>595</v>
      </c>
      <c r="E8" s="10" t="s">
        <v>7</v>
      </c>
      <c r="F8" s="8" t="s">
        <v>40</v>
      </c>
      <c r="G8" s="9" t="s">
        <v>41</v>
      </c>
      <c r="H8" s="11" t="s">
        <v>42</v>
      </c>
      <c r="I8" s="1" t="str">
        <f t="shared" si="0"/>
        <v>0834520635</v>
      </c>
      <c r="J8" s="1" t="s">
        <v>684</v>
      </c>
      <c r="K8" s="1">
        <f t="shared" si="1"/>
        <v>50</v>
      </c>
      <c r="L8" s="12">
        <f t="shared" si="2"/>
        <v>115</v>
      </c>
      <c r="M8" s="1" t="str">
        <f t="shared" si="3"/>
        <v>"method":"createLead","external_system_uid":"B2C - 9PointPlanWA","external_source_id":"</v>
      </c>
      <c r="N8" s="1" t="str">
        <f t="shared" si="4"/>
        <v>","name":"Peter Bekker (B4 Electrical)","phone":"0834520635","lead_in_date":"22-March-2026 18:14:31","instance_uid":"793c83c2-f829-464c-ad82-a157cf85bf34","campaign_uid":"af7b2cbb-29a4-446b-b4fd-0199a060d9ad","email":"N/A","remark_message":"Source: Google - Electrician (requested 2026-02-28) Emergency electrician available 24/7.. Motivation: Recovering a stolen vehicle quickly is vital for emergency responders to maintain their 'right the first time' service promise.. Context: Licensed and SABS compliant.","meta":{"additional_partner_field1":"Suburb","additional_partner_field2":"Varies Johannesburg"}}</v>
      </c>
      <c r="O8" s="1" t="str">
        <f t="shared" si="5"/>
        <v>{"token":"611d6f1a-04a1-42eb-889f-c3ff8a29bf45","method":"createLead","external_system_uid":"B2C - 9PointPlanWA","external_source_id":"10","name":"Peter Bekker (B4 Electrical)","phone":"0834520635","lead_in_date":"22-March-2026 18:14:31","instance_uid":"793c83c2-f829-464c-ad82-a157cf85bf34","campaign_uid":"af7b2cbb-29a4-446b-b4fd-0199a060d9ad","email":"N/A","remark_message":"Source: Google - Electrician (requested 2026-02-28) Emergency electrician available 24/7.. Motivation: Recovering a stolen vehicle quickly is vital for emergency responders to maintain their 'right the first time' service promise.. Context: Licensed and SABS compliant.","meta":{"additional_partner_field1":"Suburb","additional_partner_field2":"Varies Johannesburg"}}</v>
      </c>
      <c r="P8" s="1" t="s">
        <v>685</v>
      </c>
    </row>
    <row r="9" spans="1:16" ht="54" hidden="1" customHeight="1" x14ac:dyDescent="0.3">
      <c r="A9" s="1">
        <v>11</v>
      </c>
      <c r="B9" s="4" t="s">
        <v>43</v>
      </c>
      <c r="C9" s="5" t="s">
        <v>44</v>
      </c>
      <c r="D9" s="6" t="s">
        <v>596</v>
      </c>
      <c r="E9" s="10" t="s">
        <v>7</v>
      </c>
      <c r="F9" s="8" t="s">
        <v>45</v>
      </c>
      <c r="G9" s="9" t="s">
        <v>46</v>
      </c>
      <c r="H9" s="11" t="s">
        <v>47</v>
      </c>
      <c r="I9" s="1" t="str">
        <f t="shared" si="0"/>
        <v>0746112704</v>
      </c>
      <c r="J9" s="1" t="s">
        <v>684</v>
      </c>
      <c r="K9" s="1">
        <f t="shared" si="1"/>
        <v>50</v>
      </c>
      <c r="L9" s="12">
        <f t="shared" si="2"/>
        <v>115</v>
      </c>
      <c r="M9" s="1" t="str">
        <f t="shared" si="3"/>
        <v>"method":"createLead","external_system_uid":"B2C - 9PointPlanWA","external_source_id":"</v>
      </c>
      <c r="N9" s="1" t="str">
        <f t="shared" si="4"/>
        <v>","name":"Denise Naidoo (Bakkie Hire)","phone":"0746112704","lead_in_date":"22-March-2026 18:14:31","instance_uid":"793c83c2-f829-464c-ad82-a157cf85bf34","campaign_uid":"af7b2cbb-29a4-446b-b4fd-0199a060d9ad","email":"N/A","remark_message":"Source: Gumtree - Bakkie Hire (requested 2026-02-20) Logistics and removals operator with long-distance travel.. Motivation: Long-distance furniture removals across provincial lines increase the risk of hijacking; real-time tracking provides peace of mind.. Context: Based in Durban, travels to JHB and PE.","meta":{"additional_partner_field1":"Suburb","additional_partner_field2":"Amanzimtoti Durban"}}</v>
      </c>
      <c r="O9" s="1" t="str">
        <f t="shared" si="5"/>
        <v>{"token":"611d6f1a-04a1-42eb-889f-c3ff8a29bf45","method":"createLead","external_system_uid":"B2C - 9PointPlanWA","external_source_id":"11","name":"Denise Naidoo (Bakkie Hire)","phone":"0746112704","lead_in_date":"22-March-2026 18:14:31","instance_uid":"793c83c2-f829-464c-ad82-a157cf85bf34","campaign_uid":"af7b2cbb-29a4-446b-b4fd-0199a060d9ad","email":"N/A","remark_message":"Source: Gumtree - Bakkie Hire (requested 2026-02-20) Logistics and removals operator with long-distance travel.. Motivation: Long-distance furniture removals across provincial lines increase the risk of hijacking; real-time tracking provides peace of mind.. Context: Based in Durban, travels to JHB and PE.","meta":{"additional_partner_field1":"Suburb","additional_partner_field2":"Amanzimtoti Durban"}}</v>
      </c>
      <c r="P9" s="1" t="s">
        <v>685</v>
      </c>
    </row>
    <row r="10" spans="1:16" ht="54" hidden="1" customHeight="1" x14ac:dyDescent="0.3">
      <c r="A10" s="1">
        <v>12</v>
      </c>
      <c r="B10" s="4" t="s">
        <v>48</v>
      </c>
      <c r="C10" s="5" t="s">
        <v>49</v>
      </c>
      <c r="D10" s="6" t="s">
        <v>597</v>
      </c>
      <c r="E10" s="10" t="s">
        <v>7</v>
      </c>
      <c r="F10" s="8" t="s">
        <v>50</v>
      </c>
      <c r="G10" s="9" t="s">
        <v>51</v>
      </c>
      <c r="H10" s="11" t="s">
        <v>52</v>
      </c>
      <c r="I10" s="1" t="str">
        <f t="shared" si="0"/>
        <v>0824947638</v>
      </c>
      <c r="J10" s="1" t="s">
        <v>684</v>
      </c>
      <c r="K10" s="1">
        <f t="shared" si="1"/>
        <v>50</v>
      </c>
      <c r="L10" s="12">
        <f t="shared" si="2"/>
        <v>115</v>
      </c>
      <c r="M10" s="1" t="str">
        <f t="shared" si="3"/>
        <v>"method":"createLead","external_system_uid":"B2C - 9PointPlanWA","external_source_id":"</v>
      </c>
      <c r="N10" s="1" t="str">
        <f t="shared" si="4"/>
        <v>","name":"Mike (Bakkie for Hire)","phone":"0824947638","lead_in_date":"22-March-2026 18:14:31","instance_uid":"793c83c2-f829-464c-ad82-a157cf85bf34","campaign_uid":"af7b2cbb-29a4-446b-b4fd-0199a060d9ad","email":"N/A","remark_message":"Source: Gumtree - Removals (requested 2026-03-10) Small business offering affordable transportation needs.. Motivation: Tracking aids in providing accurate ETAs to customers and prevents unauthorized vehicle usage by hired assistants.. Context: Available for local loads in Constantia area.","meta":{"additional_partner_field1":"Suburb","additional_partner_field2":"Constantia Cape Town"}}</v>
      </c>
      <c r="O10" s="1" t="str">
        <f t="shared" si="5"/>
        <v>{"token":"611d6f1a-04a1-42eb-889f-c3ff8a29bf45","method":"createLead","external_system_uid":"B2C - 9PointPlanWA","external_source_id":"12","name":"Mike (Bakkie for Hire)","phone":"0824947638","lead_in_date":"22-March-2026 18:14:31","instance_uid":"793c83c2-f829-464c-ad82-a157cf85bf34","campaign_uid":"af7b2cbb-29a4-446b-b4fd-0199a060d9ad","email":"N/A","remark_message":"Source: Gumtree - Removals (requested 2026-03-10) Small business offering affordable transportation needs.. Motivation: Tracking aids in providing accurate ETAs to customers and prevents unauthorized vehicle usage by hired assistants.. Context: Available for local loads in Constantia area.","meta":{"additional_partner_field1":"Suburb","additional_partner_field2":"Constantia Cape Town"}}</v>
      </c>
      <c r="P10" s="1" t="s">
        <v>685</v>
      </c>
    </row>
    <row r="11" spans="1:16" ht="54" hidden="1" customHeight="1" x14ac:dyDescent="0.3">
      <c r="A11" s="1">
        <v>13</v>
      </c>
      <c r="B11" s="4" t="s">
        <v>53</v>
      </c>
      <c r="C11" s="5" t="s">
        <v>54</v>
      </c>
      <c r="D11" s="6" t="s">
        <v>598</v>
      </c>
      <c r="E11" s="7" t="s">
        <v>55</v>
      </c>
      <c r="F11" s="8" t="s">
        <v>56</v>
      </c>
      <c r="G11" s="9" t="s">
        <v>57</v>
      </c>
      <c r="H11" s="11" t="s">
        <v>58</v>
      </c>
      <c r="I11" s="1" t="str">
        <f t="shared" si="0"/>
        <v>0825853499</v>
      </c>
      <c r="J11" s="1" t="s">
        <v>684</v>
      </c>
      <c r="K11" s="1">
        <f t="shared" si="1"/>
        <v>50</v>
      </c>
      <c r="L11" s="12">
        <f t="shared" si="2"/>
        <v>115</v>
      </c>
      <c r="M11" s="1" t="str">
        <f t="shared" si="3"/>
        <v>"method":"createLead","external_system_uid":"B2C - 9PointPlanWA","external_source_id":"</v>
      </c>
      <c r="N11" s="1" t="str">
        <f t="shared" si="4"/>
        <v>","name":"GlowGo Mobile Car Wash","phone":"0825853499","lead_in_date":"22-March-2026 18:14:31","instance_uid":"793c83c2-f829-464c-ad82-a157cf85bf34","campaign_uid":"af7b2cbb-29a4-446b-b4fd-0199a060d9ad","email":"info@glowgomobilecarwash.co.za","remark_message":"Source: Google - Mobile Service (requested 2026-03-12) Startup providing car care at client locations.. Motivation: The mobile trolley and vehicle carrying equipment are valuable assets that need protection while operating in open parking areas.. Context: Eco-friendly focus.","meta":{"additional_partner_field1":"Suburb","additional_partner_field2":"Strand Cape Town"}}</v>
      </c>
      <c r="O11" s="1" t="str">
        <f t="shared" si="5"/>
        <v>{"token":"611d6f1a-04a1-42eb-889f-c3ff8a29bf45","method":"createLead","external_system_uid":"B2C - 9PointPlanWA","external_source_id":"13","name":"GlowGo Mobile Car Wash","phone":"0825853499","lead_in_date":"22-March-2026 18:14:31","instance_uid":"793c83c2-f829-464c-ad82-a157cf85bf34","campaign_uid":"af7b2cbb-29a4-446b-b4fd-0199a060d9ad","email":"info@glowgomobilecarwash.co.za","remark_message":"Source: Google - Mobile Service (requested 2026-03-12) Startup providing car care at client locations.. Motivation: The mobile trolley and vehicle carrying equipment are valuable assets that need protection while operating in open parking areas.. Context: Eco-friendly focus.","meta":{"additional_partner_field1":"Suburb","additional_partner_field2":"Strand Cape Town"}}</v>
      </c>
      <c r="P11" s="1" t="s">
        <v>685</v>
      </c>
    </row>
    <row r="12" spans="1:16" ht="54" hidden="1" customHeight="1" x14ac:dyDescent="0.3">
      <c r="A12" s="1">
        <v>14</v>
      </c>
      <c r="B12" s="4" t="s">
        <v>59</v>
      </c>
      <c r="C12" s="5" t="s">
        <v>60</v>
      </c>
      <c r="D12" s="6" t="s">
        <v>599</v>
      </c>
      <c r="E12" s="7" t="s">
        <v>61</v>
      </c>
      <c r="F12" s="8" t="s">
        <v>62</v>
      </c>
      <c r="G12" s="9" t="s">
        <v>63</v>
      </c>
      <c r="H12" s="11" t="s">
        <v>64</v>
      </c>
      <c r="I12" s="1" t="str">
        <f t="shared" si="0"/>
        <v>0832303326</v>
      </c>
      <c r="J12" s="1" t="s">
        <v>684</v>
      </c>
      <c r="K12" s="1">
        <f t="shared" si="1"/>
        <v>50</v>
      </c>
      <c r="L12" s="12">
        <f t="shared" si="2"/>
        <v>115</v>
      </c>
      <c r="M12" s="1" t="str">
        <f t="shared" si="3"/>
        <v>"method":"createLead","external_system_uid":"B2C - 9PointPlanWA","external_source_id":"</v>
      </c>
      <c r="N12" s="1" t="str">
        <f t="shared" si="4"/>
        <v>","name":"Mooketsa Ramasodi","phone":"0832303326","lead_in_date":"22-March-2026 18:14:31","instance_uid":"793c83c2-f829-464c-ad82-a157cf85bf34","campaign_uid":"af7b2cbb-29a4-446b-b4fd-0199a060d9ad","email":"applications@dalrrd.gov.za","remark_message":"Source: Government Directory - Agriculture (requested 2026-01-23) Smallholder farmer coordinator/entrepreneur.. Motivation: Farmers need trackers for tractors and livestock trailers to mitigate high rates of agricultural asset theft.. Context: Part of the agricultural support relief database.","meta":{"additional_partner_field1":"Suburb","additional_partner_field2":"N/A Pretoria"}}</v>
      </c>
      <c r="O12" s="1" t="str">
        <f t="shared" si="5"/>
        <v>{"token":"611d6f1a-04a1-42eb-889f-c3ff8a29bf45","method":"createLead","external_system_uid":"B2C - 9PointPlanWA","external_source_id":"14","name":"Mooketsa Ramasodi","phone":"0832303326","lead_in_date":"22-March-2026 18:14:31","instance_uid":"793c83c2-f829-464c-ad82-a157cf85bf34","campaign_uid":"af7b2cbb-29a4-446b-b4fd-0199a060d9ad","email":"applications@dalrrd.gov.za","remark_message":"Source: Government Directory - Agriculture (requested 2026-01-23) Smallholder farmer coordinator/entrepreneur.. Motivation: Farmers need trackers for tractors and livestock trailers to mitigate high rates of agricultural asset theft.. Context: Part of the agricultural support relief database.","meta":{"additional_partner_field1":"Suburb","additional_partner_field2":"N/A Pretoria"}}</v>
      </c>
      <c r="P12" s="1" t="s">
        <v>685</v>
      </c>
    </row>
    <row r="13" spans="1:16" ht="54" hidden="1" customHeight="1" x14ac:dyDescent="0.3">
      <c r="A13" s="1">
        <v>15</v>
      </c>
      <c r="B13" s="4" t="s">
        <v>59</v>
      </c>
      <c r="C13" s="5" t="s">
        <v>65</v>
      </c>
      <c r="D13" s="6" t="s">
        <v>600</v>
      </c>
      <c r="E13" s="10" t="s">
        <v>7</v>
      </c>
      <c r="F13" s="8" t="s">
        <v>66</v>
      </c>
      <c r="G13" s="9" t="s">
        <v>67</v>
      </c>
      <c r="H13" s="11" t="s">
        <v>68</v>
      </c>
      <c r="I13" s="1" t="str">
        <f t="shared" si="0"/>
        <v>0769404502</v>
      </c>
      <c r="J13" s="1" t="s">
        <v>684</v>
      </c>
      <c r="K13" s="1">
        <f t="shared" si="1"/>
        <v>50</v>
      </c>
      <c r="L13" s="12">
        <f t="shared" si="2"/>
        <v>115</v>
      </c>
      <c r="M13" s="1" t="str">
        <f t="shared" si="3"/>
        <v>"method":"createLead","external_system_uid":"B2C - 9PointPlanWA","external_source_id":"</v>
      </c>
      <c r="N13" s="1" t="str">
        <f t="shared" si="4"/>
        <v>","name":"Elder Mtshiza","phone":"0769404502","lead_in_date":"22-March-2026 18:14:31","instance_uid":"793c83c2-f829-464c-ad82-a157cf85bf34","campaign_uid":"af7b2cbb-29a4-446b-b4fd-0199a060d9ad","email":"N/A","remark_message":"Source: Government Directory - Agriculture (requested 2026-01-23) Livestock and crop smallholder business lead.. Motivation: Protecting bakkies used for transporting fresh produce to markets is critical for maintaining supply chains.. Context: Department of Agriculture contact list.","meta":{"additional_partner_field1":"Suburb","additional_partner_field2":"N/A Pretoria"}}</v>
      </c>
      <c r="O13" s="1" t="str">
        <f t="shared" si="5"/>
        <v>{"token":"611d6f1a-04a1-42eb-889f-c3ff8a29bf45","method":"createLead","external_system_uid":"B2C - 9PointPlanWA","external_source_id":"15","name":"Elder Mtshiza","phone":"0769404502","lead_in_date":"22-March-2026 18:14:31","instance_uid":"793c83c2-f829-464c-ad82-a157cf85bf34","campaign_uid":"af7b2cbb-29a4-446b-b4fd-0199a060d9ad","email":"N/A","remark_message":"Source: Government Directory - Agriculture (requested 2026-01-23) Livestock and crop smallholder business lead.. Motivation: Protecting bakkies used for transporting fresh produce to markets is critical for maintaining supply chains.. Context: Department of Agriculture contact list.","meta":{"additional_partner_field1":"Suburb","additional_partner_field2":"N/A Pretoria"}}</v>
      </c>
      <c r="P13" s="1" t="s">
        <v>685</v>
      </c>
    </row>
    <row r="14" spans="1:16" ht="54" hidden="1" customHeight="1" x14ac:dyDescent="0.3">
      <c r="A14" s="1">
        <v>16</v>
      </c>
      <c r="B14" s="4" t="s">
        <v>69</v>
      </c>
      <c r="C14" s="5" t="s">
        <v>70</v>
      </c>
      <c r="D14" s="6" t="s">
        <v>601</v>
      </c>
      <c r="E14" s="10" t="s">
        <v>7</v>
      </c>
      <c r="F14" s="8" t="s">
        <v>71</v>
      </c>
      <c r="G14" s="9" t="s">
        <v>72</v>
      </c>
      <c r="H14" s="11" t="s">
        <v>73</v>
      </c>
      <c r="I14" s="1" t="str">
        <f t="shared" si="0"/>
        <v>0714849122</v>
      </c>
      <c r="J14" s="1" t="s">
        <v>684</v>
      </c>
      <c r="K14" s="1">
        <f t="shared" si="1"/>
        <v>50</v>
      </c>
      <c r="L14" s="12">
        <f t="shared" si="2"/>
        <v>115</v>
      </c>
      <c r="M14" s="1" t="str">
        <f t="shared" si="3"/>
        <v>"method":"createLead","external_system_uid":"B2C - 9PointPlanWA","external_source_id":"</v>
      </c>
      <c r="N14" s="1" t="str">
        <f t="shared" si="4"/>
        <v>","name":"Matilda Gasela","phone":"0714849122","lead_in_date":"22-March-2026 18:14:31","instance_uid":"793c83c2-f829-464c-ad82-a157cf85bf34","campaign_uid":"af7b2cbb-29a4-446b-b4fd-0199a060d9ad","email":"N/A","remark_message":"Source: Government Directory - Gauteng Agriculture (requested 2026-01-23) Entrepreneurial lead for small farming businesses in Gauteng.. Motivation: Ensuring farm vehicles are tracked helps in lowering insurance premiums, which are a major expense for small micro-enterprises.. Context: Gauteng province lead.","meta":{"additional_partner_field1":"Suburb","additional_partner_field2":"N/A Johannesburg"}}</v>
      </c>
      <c r="O14" s="1" t="str">
        <f t="shared" si="5"/>
        <v>{"token":"611d6f1a-04a1-42eb-889f-c3ff8a29bf45","method":"createLead","external_system_uid":"B2C - 9PointPlanWA","external_source_id":"16","name":"Matilda Gasela","phone":"0714849122","lead_in_date":"22-March-2026 18:14:31","instance_uid":"793c83c2-f829-464c-ad82-a157cf85bf34","campaign_uid":"af7b2cbb-29a4-446b-b4fd-0199a060d9ad","email":"N/A","remark_message":"Source: Government Directory - Gauteng Agriculture (requested 2026-01-23) Entrepreneurial lead for small farming businesses in Gauteng.. Motivation: Ensuring farm vehicles are tracked helps in lowering insurance premiums, which are a major expense for small micro-enterprises.. Context: Gauteng province lead.","meta":{"additional_partner_field1":"Suburb","additional_partner_field2":"N/A Johannesburg"}}</v>
      </c>
      <c r="P14" s="1" t="s">
        <v>685</v>
      </c>
    </row>
    <row r="15" spans="1:16" ht="54" hidden="1" customHeight="1" x14ac:dyDescent="0.3">
      <c r="A15" s="1">
        <v>17</v>
      </c>
      <c r="B15" s="4" t="s">
        <v>74</v>
      </c>
      <c r="C15" s="5" t="s">
        <v>75</v>
      </c>
      <c r="D15" s="6" t="s">
        <v>602</v>
      </c>
      <c r="E15" s="7" t="s">
        <v>76</v>
      </c>
      <c r="F15" s="8" t="s">
        <v>77</v>
      </c>
      <c r="G15" s="9" t="s">
        <v>78</v>
      </c>
      <c r="H15" s="11" t="s">
        <v>79</v>
      </c>
      <c r="I15" s="1" t="str">
        <f t="shared" si="0"/>
        <v>0825000207</v>
      </c>
      <c r="J15" s="1" t="s">
        <v>684</v>
      </c>
      <c r="K15" s="1">
        <f t="shared" si="1"/>
        <v>50</v>
      </c>
      <c r="L15" s="12">
        <f t="shared" si="2"/>
        <v>115</v>
      </c>
      <c r="M15" s="1" t="str">
        <f t="shared" si="3"/>
        <v>"method":"createLead","external_system_uid":"B2C - 9PointPlanWA","external_source_id":"</v>
      </c>
      <c r="N15" s="1" t="str">
        <f t="shared" si="4"/>
        <v>","name":"Hillary Ngema (Nsibandos Electrical)","phone":"0825000207","lead_in_date":"22-March-2026 18:14:31","instance_uid":"793c83c2-f829-464c-ad82-a157cf85bf34","campaign_uid":"af7b2cbb-29a4-446b-b4fd-0199a060d9ad","email":"asisipho@nsdelectrical.co.za","remark_message":"Source: Google - Electrical Contractor (requested 2026-03-01) Mobile technician for a small licensed electrical firm.. Motivation: Vehicle monitoring ensures the safety of the crew when they are dispatched to remote construction sites.. Context: Accredited HVAC and electrical contractor.","meta":{"additional_partner_field1":"Suburb","additional_partner_field2":"Carletonville West Rand"}}</v>
      </c>
      <c r="O15" s="1" t="str">
        <f t="shared" si="5"/>
        <v>{"token":"611d6f1a-04a1-42eb-889f-c3ff8a29bf45","method":"createLead","external_system_uid":"B2C - 9PointPlanWA","external_source_id":"17","name":"Hillary Ngema (Nsibandos Electrical)","phone":"0825000207","lead_in_date":"22-March-2026 18:14:31","instance_uid":"793c83c2-f829-464c-ad82-a157cf85bf34","campaign_uid":"af7b2cbb-29a4-446b-b4fd-0199a060d9ad","email":"asisipho@nsdelectrical.co.za","remark_message":"Source: Google - Electrical Contractor (requested 2026-03-01) Mobile technician for a small licensed electrical firm.. Motivation: Vehicle monitoring ensures the safety of the crew when they are dispatched to remote construction sites.. Context: Accredited HVAC and electrical contractor.","meta":{"additional_partner_field1":"Suburb","additional_partner_field2":"Carletonville West Rand"}}</v>
      </c>
      <c r="P15" s="1" t="s">
        <v>685</v>
      </c>
    </row>
    <row r="16" spans="1:16" ht="54" hidden="1" customHeight="1" x14ac:dyDescent="0.3">
      <c r="A16" s="1">
        <v>18</v>
      </c>
      <c r="B16" s="4" t="s">
        <v>80</v>
      </c>
      <c r="C16" s="5" t="s">
        <v>81</v>
      </c>
      <c r="D16" s="6" t="s">
        <v>603</v>
      </c>
      <c r="E16" s="7" t="s">
        <v>82</v>
      </c>
      <c r="F16" s="8" t="s">
        <v>83</v>
      </c>
      <c r="G16" s="9" t="s">
        <v>84</v>
      </c>
      <c r="H16" s="11" t="s">
        <v>85</v>
      </c>
      <c r="I16" s="1" t="str">
        <f t="shared" si="0"/>
        <v>0825620724</v>
      </c>
      <c r="J16" s="1" t="s">
        <v>684</v>
      </c>
      <c r="K16" s="1">
        <f t="shared" si="1"/>
        <v>50</v>
      </c>
      <c r="L16" s="12">
        <f t="shared" si="2"/>
        <v>115</v>
      </c>
      <c r="M16" s="1" t="str">
        <f t="shared" si="3"/>
        <v>"method":"createLead","external_system_uid":"B2C - 9PointPlanWA","external_source_id":"</v>
      </c>
      <c r="N16" s="1" t="str">
        <f t="shared" si="4"/>
        <v>","name":"Gill Cooper (Gill Cooper Gardens)","phone":"0825620724","lead_in_date":"22-March-2026 18:14:31","instance_uid":"793c83c2-f829-464c-ad82-a157cf85bf34","campaign_uid":"af7b2cbb-29a4-446b-b4fd-0199a060d9ad","email":"Gill@gillcoopergardens.co.za","remark_message":"Source: Google - Landscaping (requested 2026-01-22) Boutique landscaping business with a mobile team.. Motivation: Protect the specialized trailers used for transporting high-value trees and landscaping equipment.. Context: Sustainable and biodiverse focus.","meta":{"additional_partner_field1":"Suburb","additional_partner_field2":"Houghton Johannesburg"}}</v>
      </c>
      <c r="O16" s="1" t="str">
        <f t="shared" si="5"/>
        <v>{"token":"611d6f1a-04a1-42eb-889f-c3ff8a29bf45","method":"createLead","external_system_uid":"B2C - 9PointPlanWA","external_source_id":"18","name":"Gill Cooper (Gill Cooper Gardens)","phone":"0825620724","lead_in_date":"22-March-2026 18:14:31","instance_uid":"793c83c2-f829-464c-ad82-a157cf85bf34","campaign_uid":"af7b2cbb-29a4-446b-b4fd-0199a060d9ad","email":"Gill@gillcoopergardens.co.za","remark_message":"Source: Google - Landscaping (requested 2026-01-22) Boutique landscaping business with a mobile team.. Motivation: Protect the specialized trailers used for transporting high-value trees and landscaping equipment.. Context: Sustainable and biodiverse focus.","meta":{"additional_partner_field1":"Suburb","additional_partner_field2":"Houghton Johannesburg"}}</v>
      </c>
      <c r="P16" s="1" t="s">
        <v>685</v>
      </c>
    </row>
    <row r="17" spans="1:16" ht="54" hidden="1" customHeight="1" x14ac:dyDescent="0.3">
      <c r="A17" s="1">
        <v>19</v>
      </c>
      <c r="B17" s="4" t="s">
        <v>86</v>
      </c>
      <c r="C17" s="5" t="s">
        <v>87</v>
      </c>
      <c r="D17" s="6" t="s">
        <v>604</v>
      </c>
      <c r="E17" s="10" t="s">
        <v>7</v>
      </c>
      <c r="F17" s="8" t="s">
        <v>88</v>
      </c>
      <c r="G17" s="9" t="s">
        <v>89</v>
      </c>
      <c r="H17" s="11" t="s">
        <v>90</v>
      </c>
      <c r="I17" s="1" t="str">
        <f t="shared" si="0"/>
        <v>0829492041</v>
      </c>
      <c r="J17" s="1" t="s">
        <v>684</v>
      </c>
      <c r="K17" s="1">
        <f t="shared" si="1"/>
        <v>50</v>
      </c>
      <c r="L17" s="12">
        <f t="shared" si="2"/>
        <v>115</v>
      </c>
      <c r="M17" s="1" t="str">
        <f t="shared" si="3"/>
        <v>"method":"createLead","external_system_uid":"B2C - 9PointPlanWA","external_source_id":"</v>
      </c>
      <c r="N17" s="1" t="str">
        <f t="shared" si="4"/>
        <v>","name":"Response Couriers","phone":"0829492041","lead_in_date":"22-March-2026 18:14:31","instance_uid":"793c83c2-f829-464c-ad82-a157cf85bf34","campaign_uid":"af7b2cbb-29a4-446b-b4fd-0199a060d9ad","email":"N/A","remark_message":"Source: Google - Courier Service (requested 2026-03-05) Urgent delivery specialist for high-value items.. Motivation: Same-day deliveries require strict time-tracking and high security to prevent the loss of time-critical parcels like medical samples.. Context: National footprint, branch in Durban.","meta":{"additional_partner_field1":"Suburb","additional_partner_field2":"Pinetown Durban"}}</v>
      </c>
      <c r="O17" s="1" t="str">
        <f t="shared" si="5"/>
        <v>{"token":"611d6f1a-04a1-42eb-889f-c3ff8a29bf45","method":"createLead","external_system_uid":"B2C - 9PointPlanWA","external_source_id":"19","name":"Response Couriers","phone":"0829492041","lead_in_date":"22-March-2026 18:14:31","instance_uid":"793c83c2-f829-464c-ad82-a157cf85bf34","campaign_uid":"af7b2cbb-29a4-446b-b4fd-0199a060d9ad","email":"N/A","remark_message":"Source: Google - Courier Service (requested 2026-03-05) Urgent delivery specialist for high-value items.. Motivation: Same-day deliveries require strict time-tracking and high security to prevent the loss of time-critical parcels like medical samples.. Context: National footprint, branch in Durban.","meta":{"additional_partner_field1":"Suburb","additional_partner_field2":"Pinetown Durban"}}</v>
      </c>
      <c r="P17" s="1" t="s">
        <v>685</v>
      </c>
    </row>
    <row r="18" spans="1:16" ht="54" hidden="1" customHeight="1" x14ac:dyDescent="0.3">
      <c r="A18" s="1">
        <v>20</v>
      </c>
      <c r="B18" s="4" t="s">
        <v>91</v>
      </c>
      <c r="C18" s="5" t="s">
        <v>92</v>
      </c>
      <c r="D18" s="6" t="s">
        <v>605</v>
      </c>
      <c r="E18" s="7" t="s">
        <v>93</v>
      </c>
      <c r="F18" s="8" t="s">
        <v>94</v>
      </c>
      <c r="G18" s="9" t="s">
        <v>95</v>
      </c>
      <c r="H18" s="11" t="s">
        <v>96</v>
      </c>
      <c r="I18" s="1" t="str">
        <f t="shared" si="0"/>
        <v>0823026826</v>
      </c>
      <c r="J18" s="1" t="s">
        <v>684</v>
      </c>
      <c r="K18" s="1">
        <f t="shared" si="1"/>
        <v>50</v>
      </c>
      <c r="L18" s="12">
        <f t="shared" si="2"/>
        <v>115</v>
      </c>
      <c r="M18" s="1" t="str">
        <f t="shared" si="3"/>
        <v>"method":"createLead","external_system_uid":"B2C - 9PointPlanWA","external_source_id":"</v>
      </c>
      <c r="N18" s="1" t="str">
        <f t="shared" si="4"/>
        <v>","name":"Smet Jet Africa","phone":"0823026826","lead_in_date":"22-March-2026 18:14:31","instance_uid":"793c83c2-f829-464c-ad82-a157cf85bf34","campaign_uid":"af7b2cbb-29a4-446b-b4fd-0199a060d9ad","email":"info@smetjetafrica.co.za","remark_message":"Source: Google - Plumbing/Industrial (requested 2026-03-15) Mobile plumbing and waste management company.. Motivation: Protect specialized industrial waste equipment and vehicles that operate 24/7 in various hazardous environments.. Context: Head office in Evander.","meta":{"additional_partner_field1":"Suburb","additional_partner_field2":"Evander Secunda"}}</v>
      </c>
      <c r="O18" s="1" t="str">
        <f t="shared" si="5"/>
        <v>{"token":"611d6f1a-04a1-42eb-889f-c3ff8a29bf45","method":"createLead","external_system_uid":"B2C - 9PointPlanWA","external_source_id":"20","name":"Smet Jet Africa","phone":"0823026826","lead_in_date":"22-March-2026 18:14:31","instance_uid":"793c83c2-f829-464c-ad82-a157cf85bf34","campaign_uid":"af7b2cbb-29a4-446b-b4fd-0199a060d9ad","email":"info@smetjetafrica.co.za","remark_message":"Source: Google - Plumbing/Industrial (requested 2026-03-15) Mobile plumbing and waste management company.. Motivation: Protect specialized industrial waste equipment and vehicles that operate 24/7 in various hazardous environments.. Context: Head office in Evander.","meta":{"additional_partner_field1":"Suburb","additional_partner_field2":"Evander Secunda"}}</v>
      </c>
      <c r="P18" s="1" t="s">
        <v>685</v>
      </c>
    </row>
    <row r="19" spans="1:16" ht="54" hidden="1" customHeight="1" x14ac:dyDescent="0.3">
      <c r="A19" s="1">
        <v>21</v>
      </c>
      <c r="B19" s="4" t="s">
        <v>97</v>
      </c>
      <c r="C19" s="5" t="s">
        <v>98</v>
      </c>
      <c r="D19" s="6" t="s">
        <v>606</v>
      </c>
      <c r="E19" s="7" t="s">
        <v>99</v>
      </c>
      <c r="F19" s="8" t="s">
        <v>100</v>
      </c>
      <c r="G19" s="9" t="s">
        <v>101</v>
      </c>
      <c r="H19" s="11" t="s">
        <v>102</v>
      </c>
      <c r="I19" s="1" t="str">
        <f t="shared" si="0"/>
        <v>0822188070</v>
      </c>
      <c r="J19" s="1" t="s">
        <v>684</v>
      </c>
      <c r="K19" s="1">
        <f t="shared" si="1"/>
        <v>50</v>
      </c>
      <c r="L19" s="12">
        <f t="shared" si="2"/>
        <v>115</v>
      </c>
      <c r="M19" s="1" t="str">
        <f t="shared" si="3"/>
        <v>"method":"createLead","external_system_uid":"B2C - 9PointPlanWA","external_source_id":"</v>
      </c>
      <c r="N19" s="1" t="str">
        <f t="shared" si="4"/>
        <v>","name":"Cape Courier (Cape River Stone)","phone":"0822188070","lead_in_date":"22-March-2026 18:14:31","instance_uid":"793c83c2-f829-464c-ad82-a157cf85bf34","campaign_uid":"af7b2cbb-29a4-446b-b4fd-0199a060d9ad","email":"info@caperiverstone.co.za","remark_message":"Source: Google - Delivery Service (requested 2026-02-15) Point-to-point same-day shipping provider.. Motivation: With trucks returning empty from Cape Town to Worcester, tracking ensures these 'back-haul' trips are optimized and secure.. Context: Affordable courier alternative.","meta":{"additional_partner_field1":"Suburb","additional_partner_field2":"Langerug Worcester"}}</v>
      </c>
      <c r="O19" s="1" t="str">
        <f t="shared" si="5"/>
        <v>{"token":"611d6f1a-04a1-42eb-889f-c3ff8a29bf45","method":"createLead","external_system_uid":"B2C - 9PointPlanWA","external_source_id":"21","name":"Cape Courier (Cape River Stone)","phone":"0822188070","lead_in_date":"22-March-2026 18:14:31","instance_uid":"793c83c2-f829-464c-ad82-a157cf85bf34","campaign_uid":"af7b2cbb-29a4-446b-b4fd-0199a060d9ad","email":"info@caperiverstone.co.za","remark_message":"Source: Google - Delivery Service (requested 2026-02-15) Point-to-point same-day shipping provider.. Motivation: With trucks returning empty from Cape Town to Worcester, tracking ensures these 'back-haul' trips are optimized and secure.. Context: Affordable courier alternative.","meta":{"additional_partner_field1":"Suburb","additional_partner_field2":"Langerug Worcester"}}</v>
      </c>
      <c r="P19" s="1" t="s">
        <v>685</v>
      </c>
    </row>
    <row r="20" spans="1:16" ht="54" hidden="1" customHeight="1" x14ac:dyDescent="0.3">
      <c r="A20" s="1">
        <v>22</v>
      </c>
      <c r="B20" s="4" t="s">
        <v>103</v>
      </c>
      <c r="C20" s="5" t="s">
        <v>104</v>
      </c>
      <c r="D20" s="6" t="s">
        <v>607</v>
      </c>
      <c r="E20" s="7" t="s">
        <v>105</v>
      </c>
      <c r="F20" s="8" t="s">
        <v>106</v>
      </c>
      <c r="G20" s="9" t="s">
        <v>107</v>
      </c>
      <c r="H20" s="11" t="s">
        <v>108</v>
      </c>
      <c r="I20" s="1" t="str">
        <f t="shared" si="0"/>
        <v>0823517198</v>
      </c>
      <c r="J20" s="1" t="s">
        <v>684</v>
      </c>
      <c r="K20" s="1">
        <f t="shared" si="1"/>
        <v>50</v>
      </c>
      <c r="L20" s="12">
        <f t="shared" si="2"/>
        <v>115</v>
      </c>
      <c r="M20" s="1" t="str">
        <f t="shared" si="3"/>
        <v>"method":"createLead","external_system_uid":"B2C - 9PointPlanWA","external_source_id":"</v>
      </c>
      <c r="N20" s="1" t="str">
        <f t="shared" si="4"/>
        <v>","name":"Fox Handyman Services","phone":"0823517198","lead_in_date":"22-March-2026 18:14:31","instance_uid":"793c83c2-f829-464c-ad82-a157cf85bf34","campaign_uid":"af7b2cbb-29a4-446b-b4fd-0199a060d9ad","email":"admin@foxhandyman.co.za","remark_message":"Source: Google - Handyman (requested 2026-03-20) Small renovation and maintenance business.. Motivation: Prevent theft of renovation materials and tools while the vehicle is parked at residential job sites throughout the day.. Context: Specializes in flooring and renovations.","meta":{"additional_partner_field1":"Suburb","additional_partner_field2":"Roodepoort Johannesburg"}}</v>
      </c>
      <c r="O20" s="1" t="str">
        <f t="shared" si="5"/>
        <v>{"token":"611d6f1a-04a1-42eb-889f-c3ff8a29bf45","method":"createLead","external_system_uid":"B2C - 9PointPlanWA","external_source_id":"22","name":"Fox Handyman Services","phone":"0823517198","lead_in_date":"22-March-2026 18:14:31","instance_uid":"793c83c2-f829-464c-ad82-a157cf85bf34","campaign_uid":"af7b2cbb-29a4-446b-b4fd-0199a060d9ad","email":"admin@foxhandyman.co.za","remark_message":"Source: Google - Handyman (requested 2026-03-20) Small renovation and maintenance business.. Motivation: Prevent theft of renovation materials and tools while the vehicle is parked at residential job sites throughout the day.. Context: Specializes in flooring and renovations.","meta":{"additional_partner_field1":"Suburb","additional_partner_field2":"Roodepoort Johannesburg"}}</v>
      </c>
      <c r="P20" s="1" t="s">
        <v>685</v>
      </c>
    </row>
    <row r="21" spans="1:16" ht="54" hidden="1" customHeight="1" x14ac:dyDescent="0.3">
      <c r="A21" s="1">
        <v>23</v>
      </c>
      <c r="B21" s="4" t="s">
        <v>109</v>
      </c>
      <c r="C21" s="5" t="s">
        <v>110</v>
      </c>
      <c r="D21" s="6" t="s">
        <v>608</v>
      </c>
      <c r="E21" s="10" t="s">
        <v>7</v>
      </c>
      <c r="F21" s="8" t="s">
        <v>111</v>
      </c>
      <c r="G21" s="9" t="s">
        <v>112</v>
      </c>
      <c r="H21" s="11" t="s">
        <v>113</v>
      </c>
      <c r="I21" s="1" t="str">
        <f t="shared" si="0"/>
        <v>0731419514</v>
      </c>
      <c r="J21" s="1" t="s">
        <v>684</v>
      </c>
      <c r="K21" s="1">
        <f t="shared" si="1"/>
        <v>50</v>
      </c>
      <c r="L21" s="12">
        <f t="shared" si="2"/>
        <v>115</v>
      </c>
      <c r="M21" s="1" t="str">
        <f t="shared" si="3"/>
        <v>"method":"createLead","external_system_uid":"B2C - 9PointPlanWA","external_source_id":"</v>
      </c>
      <c r="N21" s="1" t="str">
        <f t="shared" si="4"/>
        <v>","name":"Shaanmendran (Amanzimtoti Removals)","phone":"0731419514","lead_in_date":"22-March-2026 18:14:31","instance_uid":"793c83c2-f829-464c-ad82-a157cf85bf34","campaign_uid":"af7b2cbb-29a4-446b-b4fd-0199a060d9ad","email":"N/A","remark_message":"Source: Gumtree - Furniture Removals (requested 2026-03-18) Furniture removals and general transportation.. Motivation: Operating on the Durban-Johannesburg corridor requires high-tier tracking due to the prevalence of truck hijackings on that route.. Context: Equipped with 3.5-ton trailer.","meta":{"additional_partner_field1":"Suburb","additional_partner_field2":"Amanzimtoti Durban"}}</v>
      </c>
      <c r="O21" s="1" t="str">
        <f t="shared" si="5"/>
        <v>{"token":"611d6f1a-04a1-42eb-889f-c3ff8a29bf45","method":"createLead","external_system_uid":"B2C - 9PointPlanWA","external_source_id":"23","name":"Shaanmendran (Amanzimtoti Removals)","phone":"0731419514","lead_in_date":"22-March-2026 18:14:31","instance_uid":"793c83c2-f829-464c-ad82-a157cf85bf34","campaign_uid":"af7b2cbb-29a4-446b-b4fd-0199a060d9ad","email":"N/A","remark_message":"Source: Gumtree - Furniture Removals (requested 2026-03-18) Furniture removals and general transportation.. Motivation: Operating on the Durban-Johannesburg corridor requires high-tier tracking due to the prevalence of truck hijackings on that route.. Context: Equipped with 3.5-ton trailer.","meta":{"additional_partner_field1":"Suburb","additional_partner_field2":"Amanzimtoti Durban"}}</v>
      </c>
      <c r="P21" s="1" t="s">
        <v>685</v>
      </c>
    </row>
    <row r="22" spans="1:16" ht="54" hidden="1" customHeight="1" x14ac:dyDescent="0.3">
      <c r="A22" s="1">
        <v>24</v>
      </c>
      <c r="B22" s="4" t="s">
        <v>43</v>
      </c>
      <c r="C22" s="5" t="s">
        <v>114</v>
      </c>
      <c r="D22" s="6" t="s">
        <v>609</v>
      </c>
      <c r="E22" s="10" t="s">
        <v>7</v>
      </c>
      <c r="F22" s="8" t="s">
        <v>115</v>
      </c>
      <c r="G22" s="9" t="s">
        <v>116</v>
      </c>
      <c r="H22" s="11" t="s">
        <v>117</v>
      </c>
      <c r="I22" s="1" t="str">
        <f t="shared" si="0"/>
        <v>0614278876</v>
      </c>
      <c r="J22" s="1" t="s">
        <v>684</v>
      </c>
      <c r="K22" s="1">
        <f t="shared" si="1"/>
        <v>50</v>
      </c>
      <c r="L22" s="12">
        <f t="shared" si="2"/>
        <v>115</v>
      </c>
      <c r="M22" s="1" t="str">
        <f t="shared" si="3"/>
        <v>"method":"createLead","external_system_uid":"B2C - 9PointPlanWA","external_source_id":"</v>
      </c>
      <c r="N22" s="1" t="str">
        <f t="shared" si="4"/>
        <v>","name":"Andre (Durban Bakkie Hire)","phone":"0614278876","lead_in_date":"22-March-2026 18:14:31","instance_uid":"793c83c2-f829-464c-ad82-a157cf85bf34","campaign_uid":"af7b2cbb-29a4-446b-b4fd-0199a060d9ad","email":"N/A","remark_message":"Source: Gumtree - Bakkie Hire (requested 2026-03-22) Mini-load transportation and furniture removal.. Motivation: A tracker allows you to prove to customers exactly where their furniture is at any moment, building trust and professional credibility.. Context: Inclusive of driver and assistant.","meta":{"additional_partner_field1":"Suburb","additional_partner_field2":"Morningside Durban"}}</v>
      </c>
      <c r="O22" s="1" t="str">
        <f t="shared" si="5"/>
        <v>{"token":"611d6f1a-04a1-42eb-889f-c3ff8a29bf45","method":"createLead","external_system_uid":"B2C - 9PointPlanWA","external_source_id":"24","name":"Andre (Durban Bakkie Hire)","phone":"0614278876","lead_in_date":"22-March-2026 18:14:31","instance_uid":"793c83c2-f829-464c-ad82-a157cf85bf34","campaign_uid":"af7b2cbb-29a4-446b-b4fd-0199a060d9ad","email":"N/A","remark_message":"Source: Gumtree - Bakkie Hire (requested 2026-03-22) Mini-load transportation and furniture removal.. Motivation: A tracker allows you to prove to customers exactly where their furniture is at any moment, building trust and professional credibility.. Context: Inclusive of driver and assistant.","meta":{"additional_partner_field1":"Suburb","additional_partner_field2":"Morningside Durban"}}</v>
      </c>
      <c r="P22" s="1" t="s">
        <v>685</v>
      </c>
    </row>
    <row r="23" spans="1:16" ht="54" hidden="1" customHeight="1" x14ac:dyDescent="0.3">
      <c r="A23" s="1">
        <v>25</v>
      </c>
      <c r="B23" s="4" t="s">
        <v>118</v>
      </c>
      <c r="C23" s="5" t="s">
        <v>119</v>
      </c>
      <c r="D23" s="6" t="s">
        <v>610</v>
      </c>
      <c r="E23" s="10" t="s">
        <v>7</v>
      </c>
      <c r="F23" s="8" t="s">
        <v>120</v>
      </c>
      <c r="G23" s="9" t="s">
        <v>121</v>
      </c>
      <c r="H23" s="11" t="s">
        <v>122</v>
      </c>
      <c r="I23" s="1" t="str">
        <f t="shared" si="0"/>
        <v>0719135405</v>
      </c>
      <c r="J23" s="1" t="s">
        <v>684</v>
      </c>
      <c r="K23" s="1">
        <f t="shared" si="1"/>
        <v>50</v>
      </c>
      <c r="L23" s="12">
        <f t="shared" si="2"/>
        <v>115</v>
      </c>
      <c r="M23" s="1" t="str">
        <f t="shared" si="3"/>
        <v>"method":"createLead","external_system_uid":"B2C - 9PointPlanWA","external_source_id":"</v>
      </c>
      <c r="N23" s="1" t="str">
        <f t="shared" si="4"/>
        <v>","name":"Lucas (Lucas Removal)","phone":"0719135405","lead_in_date":"22-March-2026 18:14:31","instance_uid":"793c83c2-f829-464c-ad82-a157cf85bf34","campaign_uid":"af7b2cbb-29a4-446b-b4fd-0199a060d9ad","email":"N/A","remark_message":"Source: Gumtree - Transport (requested 2026-02-20) Long and short-distance furniture removal.. Motivation: Maintaining a 4-ton truck fleet requires automated logbooks for tax purposes and maintenance scheduling.. Context: Operates out of Midrand.","meta":{"additional_partner_field1":"Suburb","additional_partner_field2":"Midrand Johannesburg"}}</v>
      </c>
      <c r="O23" s="1" t="str">
        <f t="shared" si="5"/>
        <v>{"token":"611d6f1a-04a1-42eb-889f-c3ff8a29bf45","method":"createLead","external_system_uid":"B2C - 9PointPlanWA","external_source_id":"25","name":"Lucas (Lucas Removal)","phone":"0719135405","lead_in_date":"22-March-2026 18:14:31","instance_uid":"793c83c2-f829-464c-ad82-a157cf85bf34","campaign_uid":"af7b2cbb-29a4-446b-b4fd-0199a060d9ad","email":"N/A","remark_message":"Source: Gumtree - Transport (requested 2026-02-20) Long and short-distance furniture removal.. Motivation: Maintaining a 4-ton truck fleet requires automated logbooks for tax purposes and maintenance scheduling.. Context: Operates out of Midrand.","meta":{"additional_partner_field1":"Suburb","additional_partner_field2":"Midrand Johannesburg"}}</v>
      </c>
      <c r="P23" s="1" t="s">
        <v>685</v>
      </c>
    </row>
    <row r="24" spans="1:16" ht="54" hidden="1" customHeight="1" x14ac:dyDescent="0.3">
      <c r="A24" s="1">
        <v>26</v>
      </c>
      <c r="B24" s="4" t="s">
        <v>43</v>
      </c>
      <c r="C24" s="5" t="s">
        <v>123</v>
      </c>
      <c r="D24" s="6" t="s">
        <v>611</v>
      </c>
      <c r="E24" s="10" t="s">
        <v>7</v>
      </c>
      <c r="F24" s="8" t="s">
        <v>124</v>
      </c>
      <c r="G24" s="9" t="s">
        <v>125</v>
      </c>
      <c r="H24" s="11" t="s">
        <v>126</v>
      </c>
      <c r="I24" s="1" t="str">
        <f t="shared" si="0"/>
        <v>0692681461</v>
      </c>
      <c r="J24" s="1" t="s">
        <v>684</v>
      </c>
      <c r="K24" s="1">
        <f t="shared" si="1"/>
        <v>50</v>
      </c>
      <c r="L24" s="12">
        <f t="shared" si="2"/>
        <v>115</v>
      </c>
      <c r="M24" s="1" t="str">
        <f t="shared" si="3"/>
        <v>"method":"createLead","external_system_uid":"B2C - 9PointPlanWA","external_source_id":"</v>
      </c>
      <c r="N24" s="1" t="str">
        <f t="shared" si="4"/>
        <v>","name":"Mike (Bakkie Hire South)","phone":"0692681461","lead_in_date":"22-March-2026 18:14:31","instance_uid":"793c83c2-f829-464c-ad82-a157cf85bf34","campaign_uid":"af7b2cbb-29a4-446b-b4fd-0199a060d9ad","email":"N/A","remark_message":"Source: Gumtree - Bakkie Hire (requested 2026-03-19) 1-ton bakkie for hire with driver.. Motivation: Ensuring the bakkie is tracked helps the owner keep tabs on the driver’s route and speed, extending the vehicle's lifespan.. Context: Services Queensburgh and surrounding areas.","meta":{"additional_partner_field1":"Suburb","additional_partner_field2":"Queensburgh Durban"}}</v>
      </c>
      <c r="O24" s="1" t="str">
        <f t="shared" si="5"/>
        <v>{"token":"611d6f1a-04a1-42eb-889f-c3ff8a29bf45","method":"createLead","external_system_uid":"B2C - 9PointPlanWA","external_source_id":"26","name":"Mike (Bakkie Hire South)","phone":"0692681461","lead_in_date":"22-March-2026 18:14:31","instance_uid":"793c83c2-f829-464c-ad82-a157cf85bf34","campaign_uid":"af7b2cbb-29a4-446b-b4fd-0199a060d9ad","email":"N/A","remark_message":"Source: Gumtree - Bakkie Hire (requested 2026-03-19) 1-ton bakkie for hire with driver.. Motivation: Ensuring the bakkie is tracked helps the owner keep tabs on the driver’s route and speed, extending the vehicle's lifespan.. Context: Services Queensburgh and surrounding areas.","meta":{"additional_partner_field1":"Suburb","additional_partner_field2":"Queensburgh Durban"}}</v>
      </c>
      <c r="P24" s="1" t="s">
        <v>685</v>
      </c>
    </row>
    <row r="25" spans="1:16" ht="54" hidden="1" customHeight="1" x14ac:dyDescent="0.3">
      <c r="A25" s="1">
        <v>27</v>
      </c>
      <c r="B25" s="4" t="s">
        <v>127</v>
      </c>
      <c r="C25" s="5" t="s">
        <v>128</v>
      </c>
      <c r="D25" s="6" t="s">
        <v>612</v>
      </c>
      <c r="E25" s="10" t="s">
        <v>7</v>
      </c>
      <c r="F25" s="8" t="s">
        <v>129</v>
      </c>
      <c r="G25" s="9" t="s">
        <v>130</v>
      </c>
      <c r="H25" s="11" t="s">
        <v>131</v>
      </c>
      <c r="I25" s="1" t="str">
        <f t="shared" si="0"/>
        <v>0780880507</v>
      </c>
      <c r="J25" s="1" t="s">
        <v>684</v>
      </c>
      <c r="K25" s="1">
        <f t="shared" si="1"/>
        <v>50</v>
      </c>
      <c r="L25" s="12">
        <f t="shared" si="2"/>
        <v>115</v>
      </c>
      <c r="M25" s="1" t="str">
        <f t="shared" si="3"/>
        <v>"method":"createLead","external_system_uid":"B2C - 9PointPlanWA","external_source_id":"</v>
      </c>
      <c r="N25" s="1" t="str">
        <f t="shared" si="4"/>
        <v>","name":"Benn (Benn Handyman)","phone":"0780880507","lead_in_date":"22-March-2026 18:14:31","instance_uid":"793c83c2-f829-464c-ad82-a157cf85bf34","campaign_uid":"af7b2cbb-29a4-446b-b4fd-0199a060d9ad","email":"N/A","remark_message":"Source: Action Ads - Handyman (requested 2026-02-04) Handyman focusing on painting and plumbing maintenance.. Motivation: Small business vehicles in tourist towns like Knysna are often targeted for parts; a tracker increases recovery chances.. Context: References available.","meta":{"additional_partner_field1":"Suburb","additional_partner_field2":"Knysna Central Knysna"}}</v>
      </c>
      <c r="O25" s="1" t="str">
        <f t="shared" si="5"/>
        <v>{"token":"611d6f1a-04a1-42eb-889f-c3ff8a29bf45","method":"createLead","external_system_uid":"B2C - 9PointPlanWA","external_source_id":"27","name":"Benn (Benn Handyman)","phone":"0780880507","lead_in_date":"22-March-2026 18:14:31","instance_uid":"793c83c2-f829-464c-ad82-a157cf85bf34","campaign_uid":"af7b2cbb-29a4-446b-b4fd-0199a060d9ad","email":"N/A","remark_message":"Source: Action Ads - Handyman (requested 2026-02-04) Handyman focusing on painting and plumbing maintenance.. Motivation: Small business vehicles in tourist towns like Knysna are often targeted for parts; a tracker increases recovery chances.. Context: References available.","meta":{"additional_partner_field1":"Suburb","additional_partner_field2":"Knysna Central Knysna"}}</v>
      </c>
      <c r="P25" s="1" t="s">
        <v>685</v>
      </c>
    </row>
    <row r="26" spans="1:16" ht="54" hidden="1" customHeight="1" x14ac:dyDescent="0.3">
      <c r="A26" s="1">
        <v>28</v>
      </c>
      <c r="B26" s="4" t="s">
        <v>132</v>
      </c>
      <c r="C26" s="5" t="s">
        <v>133</v>
      </c>
      <c r="D26" s="6" t="s">
        <v>613</v>
      </c>
      <c r="E26" s="10" t="s">
        <v>7</v>
      </c>
      <c r="F26" s="8" t="s">
        <v>134</v>
      </c>
      <c r="G26" s="9" t="s">
        <v>135</v>
      </c>
      <c r="H26" s="11" t="s">
        <v>136</v>
      </c>
      <c r="I26" s="1" t="str">
        <f t="shared" si="0"/>
        <v>0824452313</v>
      </c>
      <c r="J26" s="1" t="s">
        <v>684</v>
      </c>
      <c r="K26" s="1">
        <f t="shared" si="1"/>
        <v>50</v>
      </c>
      <c r="L26" s="12">
        <f t="shared" si="2"/>
        <v>115</v>
      </c>
      <c r="M26" s="1" t="str">
        <f t="shared" si="3"/>
        <v>"method":"createLead","external_system_uid":"B2C - 9PointPlanWA","external_source_id":"</v>
      </c>
      <c r="N26" s="1" t="str">
        <f t="shared" si="4"/>
        <v>","name":"Mike (Wood Chipper for Hire)","phone":"0824452313","lead_in_date":"22-March-2026 18:14:31","instance_uid":"793c83c2-f829-464c-ad82-a157cf85bf34","campaign_uid":"af7b2cbb-29a4-446b-b4fd-0199a060d9ad","email":"N/A","remark_message":"Source: Action Ads - Equipment Hire (requested 2026-02-04) Specialized heavy equipment for hire.. Motivation: Wood chippers are expensive assets that can be easily towed away; an asset tracker is a vital security layer.. Context: Hourly or daily rates.","meta":{"additional_partner_field1":"Suburb","additional_partner_field2":"Leisure Isle Knysna"}}</v>
      </c>
      <c r="O26" s="1" t="str">
        <f t="shared" si="5"/>
        <v>{"token":"611d6f1a-04a1-42eb-889f-c3ff8a29bf45","method":"createLead","external_system_uid":"B2C - 9PointPlanWA","external_source_id":"28","name":"Mike (Wood Chipper for Hire)","phone":"0824452313","lead_in_date":"22-March-2026 18:14:31","instance_uid":"793c83c2-f829-464c-ad82-a157cf85bf34","campaign_uid":"af7b2cbb-29a4-446b-b4fd-0199a060d9ad","email":"N/A","remark_message":"Source: Action Ads - Equipment Hire (requested 2026-02-04) Specialized heavy equipment for hire.. Motivation: Wood chippers are expensive assets that can be easily towed away; an asset tracker is a vital security layer.. Context: Hourly or daily rates.","meta":{"additional_partner_field1":"Suburb","additional_partner_field2":"Leisure Isle Knysna"}}</v>
      </c>
      <c r="P26" s="1" t="s">
        <v>685</v>
      </c>
    </row>
    <row r="27" spans="1:16" ht="54" hidden="1" customHeight="1" x14ac:dyDescent="0.3">
      <c r="A27" s="1">
        <v>29</v>
      </c>
      <c r="B27" s="4" t="s">
        <v>137</v>
      </c>
      <c r="C27" s="5" t="s">
        <v>138</v>
      </c>
      <c r="D27" s="6" t="s">
        <v>614</v>
      </c>
      <c r="E27" s="7" t="s">
        <v>139</v>
      </c>
      <c r="F27" s="8" t="s">
        <v>140</v>
      </c>
      <c r="G27" s="9" t="s">
        <v>141</v>
      </c>
      <c r="H27" s="11" t="s">
        <v>142</v>
      </c>
      <c r="I27" s="1" t="str">
        <f t="shared" si="0"/>
        <v>0712460127</v>
      </c>
      <c r="J27" s="1" t="s">
        <v>684</v>
      </c>
      <c r="K27" s="1">
        <f t="shared" si="1"/>
        <v>50</v>
      </c>
      <c r="L27" s="12">
        <f t="shared" si="2"/>
        <v>115</v>
      </c>
      <c r="M27" s="1" t="str">
        <f t="shared" si="3"/>
        <v>"method":"createLead","external_system_uid":"B2C - 9PointPlanWA","external_source_id":"</v>
      </c>
      <c r="N27" s="1" t="str">
        <f t="shared" si="4"/>
        <v>","name":"Pirate Plumbing","phone":"0712460127","lead_in_date":"22-March-2026 18:14:31","instance_uid":"793c83c2-f829-464c-ad82-a157cf85bf34","campaign_uid":"af7b2cbb-29a4-446b-b4fd-0199a060d9ad","email":"Info@pirateplumbing.co.za","remark_message":"Source: Google - Plumbing (requested 2026-03-01) General and emergency plumbing services.. Motivation: Emergency call-outs often happen at night in unfamiliar suburbs; a panic-button integrated tracker is essential for driver safety.. Context: Eco-friendly solutions focus.","meta":{"additional_partner_field1":"Suburb","additional_partner_field2":"Panorama Cape Town"}}</v>
      </c>
      <c r="O27" s="1" t="str">
        <f t="shared" si="5"/>
        <v>{"token":"611d6f1a-04a1-42eb-889f-c3ff8a29bf45","method":"createLead","external_system_uid":"B2C - 9PointPlanWA","external_source_id":"29","name":"Pirate Plumbing","phone":"0712460127","lead_in_date":"22-March-2026 18:14:31","instance_uid":"793c83c2-f829-464c-ad82-a157cf85bf34","campaign_uid":"af7b2cbb-29a4-446b-b4fd-0199a060d9ad","email":"Info@pirateplumbing.co.za","remark_message":"Source: Google - Plumbing (requested 2026-03-01) General and emergency plumbing services.. Motivation: Emergency call-outs often happen at night in unfamiliar suburbs; a panic-button integrated tracker is essential for driver safety.. Context: Eco-friendly solutions focus.","meta":{"additional_partner_field1":"Suburb","additional_partner_field2":"Panorama Cape Town"}}</v>
      </c>
    </row>
    <row r="28" spans="1:16" ht="54" hidden="1" customHeight="1" x14ac:dyDescent="0.3">
      <c r="A28" s="1">
        <v>30</v>
      </c>
      <c r="B28" s="4" t="s">
        <v>23</v>
      </c>
      <c r="C28" s="5" t="s">
        <v>143</v>
      </c>
      <c r="D28" s="6" t="s">
        <v>615</v>
      </c>
      <c r="E28" s="7" t="s">
        <v>144</v>
      </c>
      <c r="F28" s="8" t="s">
        <v>145</v>
      </c>
      <c r="G28" s="9" t="s">
        <v>146</v>
      </c>
      <c r="H28" s="11" t="s">
        <v>147</v>
      </c>
      <c r="I28" s="1" t="str">
        <f t="shared" si="0"/>
        <v>0823338666</v>
      </c>
      <c r="J28" s="1" t="s">
        <v>684</v>
      </c>
      <c r="K28" s="1">
        <f t="shared" si="1"/>
        <v>50</v>
      </c>
      <c r="L28" s="12">
        <f t="shared" si="2"/>
        <v>115</v>
      </c>
      <c r="M28" s="1" t="str">
        <f t="shared" si="3"/>
        <v>"method":"createLead","external_system_uid":"B2C - 9PointPlanWA","external_source_id":"</v>
      </c>
      <c r="N28" s="1" t="str">
        <f t="shared" si="4"/>
        <v>","name":"HB Plumbing","phone":"0823338666","lead_in_date":"22-March-2026 18:14:31","instance_uid":"793c83c2-f829-464c-ad82-a157cf85bf34","campaign_uid":"af7b2cbb-29a4-446b-b4fd-0199a060d9ad","email":"info@hbplumbing.co.za","remark_message":"Source: Google - Plumber (requested 2026-03-10) Small plumbing firm providing leak detection.. Motivation: Vehicle logbooks generated by the tracker simplify SARS tax claims for business-related travel.. Context: IOPSA accredited.","meta":{"additional_partner_field1":"Suburb","additional_partner_field2":"Durbanville Cape Town"}}</v>
      </c>
      <c r="O28" s="1" t="str">
        <f t="shared" si="5"/>
        <v>{"token":"611d6f1a-04a1-42eb-889f-c3ff8a29bf45","method":"createLead","external_system_uid":"B2C - 9PointPlanWA","external_source_id":"30","name":"HB Plumbing","phone":"0823338666","lead_in_date":"22-March-2026 18:14:31","instance_uid":"793c83c2-f829-464c-ad82-a157cf85bf34","campaign_uid":"af7b2cbb-29a4-446b-b4fd-0199a060d9ad","email":"info@hbplumbing.co.za","remark_message":"Source: Google - Plumber (requested 2026-03-10) Small plumbing firm providing leak detection.. Motivation: Vehicle logbooks generated by the tracker simplify SARS tax claims for business-related travel.. Context: IOPSA accredited.","meta":{"additional_partner_field1":"Suburb","additional_partner_field2":"Durbanville Cape Town"}}</v>
      </c>
    </row>
    <row r="29" spans="1:16" ht="54" hidden="1" customHeight="1" x14ac:dyDescent="0.3">
      <c r="A29" s="1">
        <v>31</v>
      </c>
      <c r="B29" s="4" t="s">
        <v>148</v>
      </c>
      <c r="C29" s="5" t="s">
        <v>149</v>
      </c>
      <c r="D29" s="6" t="s">
        <v>616</v>
      </c>
      <c r="E29" s="10" t="s">
        <v>7</v>
      </c>
      <c r="F29" s="8" t="s">
        <v>150</v>
      </c>
      <c r="G29" s="9" t="s">
        <v>151</v>
      </c>
      <c r="H29" s="11" t="s">
        <v>152</v>
      </c>
      <c r="I29" s="1" t="str">
        <f t="shared" si="0"/>
        <v>0824777271</v>
      </c>
      <c r="J29" s="1" t="s">
        <v>684</v>
      </c>
      <c r="K29" s="1">
        <f t="shared" si="1"/>
        <v>50</v>
      </c>
      <c r="L29" s="12">
        <f t="shared" si="2"/>
        <v>115</v>
      </c>
      <c r="M29" s="1" t="str">
        <f t="shared" si="3"/>
        <v>"method":"createLead","external_system_uid":"B2C - 9PointPlanWA","external_source_id":"</v>
      </c>
      <c r="N29" s="1" t="str">
        <f t="shared" si="4"/>
        <v>","name":"Fixit Maintenance","phone":"0824777271","lead_in_date":"22-March-2026 18:14:31","instance_uid":"793c83c2-f829-464c-ad82-a157cf85bf34","campaign_uid":"af7b2cbb-29a4-446b-b4fd-0199a060d9ad","email":"N/A","remark_message":"Source: Google - Handyman Service (requested 2026-03-05) Multi-service handyman offering plumbing and electrical.. Motivation: As a 'same-day service' provider, tracking helps dispatch the nearest vehicle to the next job, saving fuel and time.. Context: Focused on Alberton and Johannesburg South.","meta":{"additional_partner_field1":"Suburb","additional_partner_field2":"Alberton Johannesburg"}}</v>
      </c>
      <c r="O29" s="1" t="str">
        <f t="shared" si="5"/>
        <v>{"token":"611d6f1a-04a1-42eb-889f-c3ff8a29bf45","method":"createLead","external_system_uid":"B2C - 9PointPlanWA","external_source_id":"31","name":"Fixit Maintenance","phone":"0824777271","lead_in_date":"22-March-2026 18:14:31","instance_uid":"793c83c2-f829-464c-ad82-a157cf85bf34","campaign_uid":"af7b2cbb-29a4-446b-b4fd-0199a060d9ad","email":"N/A","remark_message":"Source: Google - Handyman Service (requested 2026-03-05) Multi-service handyman offering plumbing and electrical.. Motivation: As a 'same-day service' provider, tracking helps dispatch the nearest vehicle to the next job, saving fuel and time.. Context: Focused on Alberton and Johannesburg South.","meta":{"additional_partner_field1":"Suburb","additional_partner_field2":"Alberton Johannesburg"}}</v>
      </c>
    </row>
    <row r="30" spans="1:16" ht="54" hidden="1" customHeight="1" x14ac:dyDescent="0.3">
      <c r="A30" s="1">
        <v>32</v>
      </c>
      <c r="B30" s="4" t="s">
        <v>153</v>
      </c>
      <c r="C30" s="5" t="s">
        <v>154</v>
      </c>
      <c r="D30" s="6" t="s">
        <v>617</v>
      </c>
      <c r="E30" s="7" t="s">
        <v>155</v>
      </c>
      <c r="F30" s="8" t="s">
        <v>156</v>
      </c>
      <c r="G30" s="9" t="s">
        <v>157</v>
      </c>
      <c r="H30" s="11" t="s">
        <v>158</v>
      </c>
      <c r="I30" s="1" t="str">
        <f t="shared" si="0"/>
        <v>0825816218</v>
      </c>
      <c r="J30" s="1" t="s">
        <v>684</v>
      </c>
      <c r="K30" s="1">
        <f t="shared" si="1"/>
        <v>50</v>
      </c>
      <c r="L30" s="12">
        <f t="shared" si="2"/>
        <v>115</v>
      </c>
      <c r="M30" s="1" t="str">
        <f t="shared" si="3"/>
        <v>"method":"createLead","external_system_uid":"B2C - 9PointPlanWA","external_source_id":"</v>
      </c>
      <c r="N30" s="1" t="str">
        <f t="shared" si="4"/>
        <v>","name":"Mantle Projects","phone":"0825816218","lead_in_date":"22-March-2026 18:14:31","instance_uid":"793c83c2-f829-464c-ad82-a157cf85bf34","campaign_uid":"af7b2cbb-29a4-446b-b4fd-0199a060d9ad","email":"hello@mantleprojects.co.za","remark_message":"Source: Google - Construction/Maintenance (requested 2026-03-01) Small business specializing in shopfitting and maintenance.. Motivation: High-value shopfitting materials and tools require 24/7 monitoring when parked in urban construction zones.. Context: Offers steel fabrication and electrical solutions.","meta":{"additional_partner_field1":"Suburb","additional_partner_field2":"Alberton North Johannesburg"}}</v>
      </c>
      <c r="O30" s="1" t="str">
        <f t="shared" si="5"/>
        <v>{"token":"611d6f1a-04a1-42eb-889f-c3ff8a29bf45","method":"createLead","external_system_uid":"B2C - 9PointPlanWA","external_source_id":"32","name":"Mantle Projects","phone":"0825816218","lead_in_date":"22-March-2026 18:14:31","instance_uid":"793c83c2-f829-464c-ad82-a157cf85bf34","campaign_uid":"af7b2cbb-29a4-446b-b4fd-0199a060d9ad","email":"hello@mantleprojects.co.za","remark_message":"Source: Google - Construction/Maintenance (requested 2026-03-01) Small business specializing in shopfitting and maintenance.. Motivation: High-value shopfitting materials and tools require 24/7 monitoring when parked in urban construction zones.. Context: Offers steel fabrication and electrical solutions.","meta":{"additional_partner_field1":"Suburb","additional_partner_field2":"Alberton North Johannesburg"}}</v>
      </c>
    </row>
    <row r="31" spans="1:16" ht="54" hidden="1" customHeight="1" x14ac:dyDescent="0.3">
      <c r="A31" s="1">
        <v>33</v>
      </c>
      <c r="B31" s="4" t="s">
        <v>8</v>
      </c>
      <c r="C31" s="5" t="s">
        <v>159</v>
      </c>
      <c r="D31" s="6" t="s">
        <v>618</v>
      </c>
      <c r="E31" s="7" t="s">
        <v>160</v>
      </c>
      <c r="F31" s="8" t="s">
        <v>161</v>
      </c>
      <c r="G31" s="9" t="s">
        <v>162</v>
      </c>
      <c r="H31" s="11" t="s">
        <v>163</v>
      </c>
      <c r="I31" s="1" t="str">
        <f t="shared" si="0"/>
        <v>0827302202</v>
      </c>
      <c r="J31" s="1" t="s">
        <v>684</v>
      </c>
      <c r="K31" s="1">
        <f t="shared" si="1"/>
        <v>50</v>
      </c>
      <c r="L31" s="12">
        <f t="shared" si="2"/>
        <v>115</v>
      </c>
      <c r="M31" s="1" t="str">
        <f t="shared" si="3"/>
        <v>"method":"createLead","external_system_uid":"B2C - 9PointPlanWA","external_source_id":"</v>
      </c>
      <c r="N31" s="1" t="str">
        <f t="shared" si="4"/>
        <v>","name":"Khulanathi Electrical Contractors","phone":"0827302202","lead_in_date":"22-March-2026 18:14:31","instance_uid":"793c83c2-f829-464c-ad82-a157cf85bf34","campaign_uid":"af7b2cbb-29a4-446b-b4fd-0199a060d9ad","email":"info@khulanathielectrical.co.za","remark_message":"Source: Google - Electrician (requested 2026-03-12) Master Electrician leading a small team in KZN.. Motivation: Ensuring master electrician certification standards are met includes having reliable security protocols for company vehicles.. Context: Serves industrial and domestic clients.","meta":{"additional_partner_field1":"Suburb","additional_partner_field2":"Durban North Durban"}}</v>
      </c>
      <c r="O31" s="1" t="str">
        <f t="shared" si="5"/>
        <v>{"token":"611d6f1a-04a1-42eb-889f-c3ff8a29bf45","method":"createLead","external_system_uid":"B2C - 9PointPlanWA","external_source_id":"33","name":"Khulanathi Electrical Contractors","phone":"0827302202","lead_in_date":"22-March-2026 18:14:31","instance_uid":"793c83c2-f829-464c-ad82-a157cf85bf34","campaign_uid":"af7b2cbb-29a4-446b-b4fd-0199a060d9ad","email":"info@khulanathielectrical.co.za","remark_message":"Source: Google - Electrician (requested 2026-03-12) Master Electrician leading a small team in KZN.. Motivation: Ensuring master electrician certification standards are met includes having reliable security protocols for company vehicles.. Context: Serves industrial and domestic clients.","meta":{"additional_partner_field1":"Suburb","additional_partner_field2":"Durban North Durban"}}</v>
      </c>
      <c r="P31" s="1" t="s">
        <v>685</v>
      </c>
    </row>
    <row r="32" spans="1:16" ht="54" hidden="1" customHeight="1" x14ac:dyDescent="0.3">
      <c r="A32" s="1">
        <v>34</v>
      </c>
      <c r="B32" s="4" t="s">
        <v>8</v>
      </c>
      <c r="C32" s="5" t="s">
        <v>164</v>
      </c>
      <c r="D32" s="6" t="s">
        <v>619</v>
      </c>
      <c r="E32" s="10" t="s">
        <v>7</v>
      </c>
      <c r="F32" s="8" t="s">
        <v>165</v>
      </c>
      <c r="G32" s="9" t="s">
        <v>166</v>
      </c>
      <c r="H32" s="11" t="s">
        <v>167</v>
      </c>
      <c r="I32" s="1" t="str">
        <f t="shared" si="0"/>
        <v>0824500435</v>
      </c>
      <c r="J32" s="1" t="s">
        <v>684</v>
      </c>
      <c r="K32" s="1">
        <f t="shared" si="1"/>
        <v>50</v>
      </c>
      <c r="L32" s="12">
        <f t="shared" si="2"/>
        <v>115</v>
      </c>
      <c r="M32" s="1" t="str">
        <f t="shared" si="3"/>
        <v>"method":"createLead","external_system_uid":"B2C - 9PointPlanWA","external_source_id":"</v>
      </c>
      <c r="N32" s="1" t="str">
        <f t="shared" si="4"/>
        <v>","name":"Laatz Electrical","phone":"0824500435","lead_in_date":"22-March-2026 18:14:31","instance_uid":"793c83c2-f829-464c-ad82-a157cf85bf34","campaign_uid":"af7b2cbb-29a4-446b-b4fd-0199a060d9ad","email":"N/A","remark_message":"Source: Google - Electrician (requested 2026-02-14) Emergency electrician on call 24/7.. Motivation: Vehicle security is paramount for contractors working late nights in KwaZulu-Natal’s high-crime areas.. Context: Specializes in cable fault finding.","meta":{"additional_partner_field1":"Suburb","additional_partner_field2":"Westville Durban"}}</v>
      </c>
      <c r="O32" s="1" t="str">
        <f t="shared" si="5"/>
        <v>{"token":"611d6f1a-04a1-42eb-889f-c3ff8a29bf45","method":"createLead","external_system_uid":"B2C - 9PointPlanWA","external_source_id":"34","name":"Laatz Electrical","phone":"0824500435","lead_in_date":"22-March-2026 18:14:31","instance_uid":"793c83c2-f829-464c-ad82-a157cf85bf34","campaign_uid":"af7b2cbb-29a4-446b-b4fd-0199a060d9ad","email":"N/A","remark_message":"Source: Google - Electrician (requested 2026-02-14) Emergency electrician on call 24/7.. Motivation: Vehicle security is paramount for contractors working late nights in KwaZulu-Natal’s high-crime areas.. Context: Specializes in cable fault finding.","meta":{"additional_partner_field1":"Suburb","additional_partner_field2":"Westville Durban"}}</v>
      </c>
    </row>
    <row r="33" spans="1:16" ht="54" hidden="1" customHeight="1" x14ac:dyDescent="0.3">
      <c r="A33" s="1">
        <v>35</v>
      </c>
      <c r="B33" s="4" t="s">
        <v>168</v>
      </c>
      <c r="C33" s="5" t="s">
        <v>169</v>
      </c>
      <c r="D33" s="6" t="s">
        <v>620</v>
      </c>
      <c r="E33" s="7" t="s">
        <v>170</v>
      </c>
      <c r="F33" s="8" t="s">
        <v>171</v>
      </c>
      <c r="G33" s="9" t="s">
        <v>172</v>
      </c>
      <c r="H33" s="11" t="s">
        <v>173</v>
      </c>
      <c r="I33" s="1" t="str">
        <f t="shared" si="0"/>
        <v>0761369136</v>
      </c>
      <c r="J33" s="1" t="s">
        <v>684</v>
      </c>
      <c r="K33" s="1">
        <f t="shared" si="1"/>
        <v>50</v>
      </c>
      <c r="L33" s="12">
        <f t="shared" si="2"/>
        <v>115</v>
      </c>
      <c r="M33" s="1" t="str">
        <f t="shared" si="3"/>
        <v>"method":"createLead","external_system_uid":"B2C - 9PointPlanWA","external_source_id":"</v>
      </c>
      <c r="N33" s="1" t="str">
        <f t="shared" si="4"/>
        <v>","name":"Gideon Steyn (Gideon Mobile Cleaning)","phone":"0761369136","lead_in_date":"22-March-2026 18:14:31","instance_uid":"793c83c2-f829-464c-ad82-a157cf85bf34","campaign_uid":"af7b2cbb-29a4-446b-b4fd-0199a060d9ad","email":"gideonsteyn3@gmail.com","remark_message":"Source: Whale Coast Directory - Mobile Car Wash (requested 2026-03-01) Mobile car wash operator visiting homes.. Motivation: A tracker allows you to demonstrate professional arrival times to clients, enhancing the perceived reliability of your mobile service.. Context: Washes cars at home; includes interior detailing.","meta":{"additional_partner_field1":"Suburb","additional_partner_field2":"Kleinmond Hermanus"}}</v>
      </c>
      <c r="O33" s="1" t="str">
        <f t="shared" si="5"/>
        <v>{"token":"611d6f1a-04a1-42eb-889f-c3ff8a29bf45","method":"createLead","external_system_uid":"B2C - 9PointPlanWA","external_source_id":"35","name":"Gideon Steyn (Gideon Mobile Cleaning)","phone":"0761369136","lead_in_date":"22-March-2026 18:14:31","instance_uid":"793c83c2-f829-464c-ad82-a157cf85bf34","campaign_uid":"af7b2cbb-29a4-446b-b4fd-0199a060d9ad","email":"gideonsteyn3@gmail.com","remark_message":"Source: Whale Coast Directory - Mobile Car Wash (requested 2026-03-01) Mobile car wash operator visiting homes.. Motivation: A tracker allows you to demonstrate professional arrival times to clients, enhancing the perceived reliability of your mobile service.. Context: Washes cars at home; includes interior detailing.","meta":{"additional_partner_field1":"Suburb","additional_partner_field2":"Kleinmond Hermanus"}}</v>
      </c>
      <c r="P33" s="1" t="s">
        <v>685</v>
      </c>
    </row>
    <row r="34" spans="1:16" ht="54" hidden="1" customHeight="1" x14ac:dyDescent="0.3">
      <c r="A34" s="1">
        <v>36</v>
      </c>
      <c r="B34" s="4" t="s">
        <v>174</v>
      </c>
      <c r="C34" s="5" t="s">
        <v>175</v>
      </c>
      <c r="D34" s="6" t="s">
        <v>621</v>
      </c>
      <c r="E34" s="7" t="s">
        <v>176</v>
      </c>
      <c r="F34" s="8" t="s">
        <v>177</v>
      </c>
      <c r="G34" s="9" t="s">
        <v>178</v>
      </c>
      <c r="H34" s="11" t="s">
        <v>179</v>
      </c>
      <c r="I34" s="1" t="str">
        <f t="shared" si="0"/>
        <v>0826552265</v>
      </c>
      <c r="J34" s="1" t="s">
        <v>684</v>
      </c>
      <c r="K34" s="1">
        <f t="shared" si="1"/>
        <v>50</v>
      </c>
      <c r="L34" s="12">
        <f t="shared" si="2"/>
        <v>115</v>
      </c>
      <c r="M34" s="1" t="str">
        <f t="shared" si="3"/>
        <v>"method":"createLead","external_system_uid":"B2C - 9PointPlanWA","external_source_id":"</v>
      </c>
      <c r="N34" s="1" t="str">
        <f t="shared" si="4"/>
        <v>","name":"Suzette Marlyn (Team Clean Co)","phone":"0826552265","lead_in_date":"22-March-2026 18:14:31","instance_uid":"793c83c2-f829-464c-ad82-a157cf85bf34","campaign_uid":"af7b2cbb-29a4-446b-b4fd-0199a060d9ad","email":"suzettemarlyn@gmail.com","remark_message":"Source: Whale Coast Directory - Cleaning (requested 2026-03-10) Professional management and cleaning for holiday homes.. Motivation: Tracking ensures that staff traveling between dispersed holiday rentals are safe and accounts for their time spent at each property.. Context: Specializes in deep cleaning and Airbnb management.","meta":{"additional_partner_field1":"Suburb","additional_partner_field2":"Hermanus Overberg"}}</v>
      </c>
      <c r="O34" s="1" t="str">
        <f t="shared" si="5"/>
        <v>{"token":"611d6f1a-04a1-42eb-889f-c3ff8a29bf45","method":"createLead","external_system_uid":"B2C - 9PointPlanWA","external_source_id":"36","name":"Suzette Marlyn (Team Clean Co)","phone":"0826552265","lead_in_date":"22-March-2026 18:14:31","instance_uid":"793c83c2-f829-464c-ad82-a157cf85bf34","campaign_uid":"af7b2cbb-29a4-446b-b4fd-0199a060d9ad","email":"suzettemarlyn@gmail.com","remark_message":"Source: Whale Coast Directory - Cleaning (requested 2026-03-10) Professional management and cleaning for holiday homes.. Motivation: Tracking ensures that staff traveling between dispersed holiday rentals are safe and accounts for their time spent at each property.. Context: Specializes in deep cleaning and Airbnb management.","meta":{"additional_partner_field1":"Suburb","additional_partner_field2":"Hermanus Overberg"}}</v>
      </c>
      <c r="P34" s="1" t="s">
        <v>685</v>
      </c>
    </row>
    <row r="35" spans="1:16" ht="54" hidden="1" customHeight="1" x14ac:dyDescent="0.3">
      <c r="A35" s="1">
        <v>37</v>
      </c>
      <c r="B35" s="4" t="s">
        <v>174</v>
      </c>
      <c r="C35" s="5" t="s">
        <v>180</v>
      </c>
      <c r="D35" s="6" t="s">
        <v>622</v>
      </c>
      <c r="E35" s="7" t="s">
        <v>181</v>
      </c>
      <c r="F35" s="8" t="s">
        <v>182</v>
      </c>
      <c r="G35" s="9" t="s">
        <v>183</v>
      </c>
      <c r="H35" s="11" t="s">
        <v>184</v>
      </c>
      <c r="I35" s="1" t="str">
        <f t="shared" si="0"/>
        <v>0738180664</v>
      </c>
      <c r="J35" s="1" t="s">
        <v>684</v>
      </c>
      <c r="K35" s="1">
        <f t="shared" si="1"/>
        <v>50</v>
      </c>
      <c r="L35" s="12">
        <f t="shared" si="2"/>
        <v>115</v>
      </c>
      <c r="M35" s="1" t="str">
        <f t="shared" si="3"/>
        <v>"method":"createLead","external_system_uid":"B2C - 9PointPlanWA","external_source_id":"</v>
      </c>
      <c r="N35" s="1" t="str">
        <f t="shared" si="4"/>
        <v>","name":"Dust-Free Homes","phone":"0738180664","lead_in_date":"22-March-2026 18:14:31","instance_uid":"793c83c2-f829-464c-ad82-a157cf85bf34","campaign_uid":"af7b2cbb-29a4-446b-b4fd-0199a060d9ad","email":"dustfreehomes1@gmail.com","remark_message":"Source: Whale Coast Directory - Cleaning (requested 2026-02-28) Residential and business cleaning service.. Motivation: For a service with teams moving between houses, a tracker ensures that the business owner can monitor the fleet without being on-site.. Context: Operates in Betty's Bay and Kleinmond.","meta":{"additional_partner_field1":"Suburb","additional_partner_field2":"Betty's Bay Hermanus"}}</v>
      </c>
      <c r="O35" s="1" t="str">
        <f t="shared" si="5"/>
        <v>{"token":"611d6f1a-04a1-42eb-889f-c3ff8a29bf45","method":"createLead","external_system_uid":"B2C - 9PointPlanWA","external_source_id":"37","name":"Dust-Free Homes","phone":"0738180664","lead_in_date":"22-March-2026 18:14:31","instance_uid":"793c83c2-f829-464c-ad82-a157cf85bf34","campaign_uid":"af7b2cbb-29a4-446b-b4fd-0199a060d9ad","email":"dustfreehomes1@gmail.com","remark_message":"Source: Whale Coast Directory - Cleaning (requested 2026-02-28) Residential and business cleaning service.. Motivation: For a service with teams moving between houses, a tracker ensures that the business owner can monitor the fleet without being on-site.. Context: Operates in Betty's Bay and Kleinmond.","meta":{"additional_partner_field1":"Suburb","additional_partner_field2":"Betty's Bay Hermanus"}}</v>
      </c>
    </row>
    <row r="36" spans="1:16" ht="54" hidden="1" customHeight="1" x14ac:dyDescent="0.3">
      <c r="A36" s="1">
        <v>38</v>
      </c>
      <c r="B36" s="4" t="s">
        <v>185</v>
      </c>
      <c r="C36" s="5" t="s">
        <v>186</v>
      </c>
      <c r="D36" s="6" t="s">
        <v>623</v>
      </c>
      <c r="E36" s="10" t="s">
        <v>7</v>
      </c>
      <c r="F36" s="8" t="s">
        <v>187</v>
      </c>
      <c r="G36" s="9" t="s">
        <v>188</v>
      </c>
      <c r="H36" s="11" t="s">
        <v>189</v>
      </c>
      <c r="I36" s="1" t="str">
        <f t="shared" si="0"/>
        <v>0699794997</v>
      </c>
      <c r="J36" s="1" t="s">
        <v>684</v>
      </c>
      <c r="K36" s="1">
        <f t="shared" si="1"/>
        <v>50</v>
      </c>
      <c r="L36" s="12">
        <f t="shared" si="2"/>
        <v>115</v>
      </c>
      <c r="M36" s="1" t="str">
        <f t="shared" si="3"/>
        <v>"method":"createLead","external_system_uid":"B2C - 9PointPlanWA","external_source_id":"</v>
      </c>
      <c r="N36" s="1" t="str">
        <f t="shared" si="4"/>
        <v>","name":"Mountainside Mobile Car Wash","phone":"0699794997","lead_in_date":"22-March-2026 18:14:31","instance_uid":"793c83c2-f829-464c-ad82-a157cf85bf34","campaign_uid":"af7b2cbb-29a4-446b-b4fd-0199a060d9ad","email":"N/A","remark_message":"Source: Whale Coast Directory - Car Wash (requested 2026-03-05) Premium mobile car wash at client doorsteps.. Motivation: Protecting the vehicle and portable washing machines while working in busy suburbs is a primary security concern.. Context: Based in Kleinmond.","meta":{"additional_partner_field1":"Suburb","additional_partner_field2":"Kleinmond Hermanus"}}</v>
      </c>
      <c r="O36" s="1" t="str">
        <f t="shared" si="5"/>
        <v>{"token":"611d6f1a-04a1-42eb-889f-c3ff8a29bf45","method":"createLead","external_system_uid":"B2C - 9PointPlanWA","external_source_id":"38","name":"Mountainside Mobile Car Wash","phone":"0699794997","lead_in_date":"22-March-2026 18:14:31","instance_uid":"793c83c2-f829-464c-ad82-a157cf85bf34","campaign_uid":"af7b2cbb-29a4-446b-b4fd-0199a060d9ad","email":"N/A","remark_message":"Source: Whale Coast Directory - Car Wash (requested 2026-03-05) Premium mobile car wash at client doorsteps.. Motivation: Protecting the vehicle and portable washing machines while working in busy suburbs is a primary security concern.. Context: Based in Kleinmond.","meta":{"additional_partner_field1":"Suburb","additional_partner_field2":"Kleinmond Hermanus"}}</v>
      </c>
    </row>
    <row r="37" spans="1:16" ht="54" hidden="1" customHeight="1" x14ac:dyDescent="0.3">
      <c r="A37" s="1">
        <v>39</v>
      </c>
      <c r="B37" s="4" t="s">
        <v>190</v>
      </c>
      <c r="C37" s="5" t="s">
        <v>191</v>
      </c>
      <c r="D37" s="6" t="s">
        <v>624</v>
      </c>
      <c r="E37" s="7" t="s">
        <v>61</v>
      </c>
      <c r="F37" s="8" t="s">
        <v>192</v>
      </c>
      <c r="G37" s="9" t="s">
        <v>193</v>
      </c>
      <c r="H37" s="11" t="s">
        <v>194</v>
      </c>
      <c r="I37" s="1" t="str">
        <f t="shared" si="0"/>
        <v>0835369119</v>
      </c>
      <c r="J37" s="1" t="s">
        <v>684</v>
      </c>
      <c r="K37" s="1">
        <f t="shared" si="1"/>
        <v>50</v>
      </c>
      <c r="L37" s="12">
        <f t="shared" si="2"/>
        <v>115</v>
      </c>
      <c r="M37" s="1" t="str">
        <f t="shared" si="3"/>
        <v>"method":"createLead","external_system_uid":"B2C - 9PointPlanWA","external_source_id":"</v>
      </c>
      <c r="N37" s="1" t="str">
        <f t="shared" si="4"/>
        <v>","name":"Sibusiso Nongwanya","phone":"0835369119","lead_in_date":"22-March-2026 18:14:31","instance_uid":"793c83c2-f829-464c-ad82-a157cf85bf34","campaign_uid":"af7b2cbb-29a4-446b-b4fd-0199a060d9ad","email":"applications@dalrrd.gov.za","remark_message":"Source: Government Directory - EC Agriculture (requested 2026-01-23) Eastern Cape agricultural small business coordinator.. Motivation: Livestock theft and vehicle loss in the Eastern Cape can be mitigated by installing hidden trackers in agricultural transport units.. Context: Eastern Cape Department of Agriculture contact.","meta":{"additional_partner_field1":"Suburb","additional_partner_field2":"N/A East London"}}</v>
      </c>
      <c r="O37" s="1" t="str">
        <f t="shared" si="5"/>
        <v>{"token":"611d6f1a-04a1-42eb-889f-c3ff8a29bf45","method":"createLead","external_system_uid":"B2C - 9PointPlanWA","external_source_id":"39","name":"Sibusiso Nongwanya","phone":"0835369119","lead_in_date":"22-March-2026 18:14:31","instance_uid":"793c83c2-f829-464c-ad82-a157cf85bf34","campaign_uid":"af7b2cbb-29a4-446b-b4fd-0199a060d9ad","email":"applications@dalrrd.gov.za","remark_message":"Source: Government Directory - EC Agriculture (requested 2026-01-23) Eastern Cape agricultural small business coordinator.. Motivation: Livestock theft and vehicle loss in the Eastern Cape can be mitigated by installing hidden trackers in agricultural transport units.. Context: Eastern Cape Department of Agriculture contact.","meta":{"additional_partner_field1":"Suburb","additional_partner_field2":"N/A East London"}}</v>
      </c>
      <c r="P37" s="1" t="s">
        <v>685</v>
      </c>
    </row>
    <row r="38" spans="1:16" ht="54" hidden="1" customHeight="1" x14ac:dyDescent="0.3">
      <c r="A38" s="1">
        <v>40</v>
      </c>
      <c r="B38" s="4" t="s">
        <v>195</v>
      </c>
      <c r="C38" s="5" t="s">
        <v>196</v>
      </c>
      <c r="D38" s="6" t="s">
        <v>625</v>
      </c>
      <c r="E38" s="10" t="s">
        <v>7</v>
      </c>
      <c r="F38" s="8" t="s">
        <v>197</v>
      </c>
      <c r="G38" s="9" t="s">
        <v>198</v>
      </c>
      <c r="H38" s="11" t="s">
        <v>199</v>
      </c>
      <c r="I38" s="1" t="str">
        <f t="shared" si="0"/>
        <v>0828270644</v>
      </c>
      <c r="J38" s="1" t="s">
        <v>684</v>
      </c>
      <c r="K38" s="1">
        <f t="shared" si="1"/>
        <v>50</v>
      </c>
      <c r="L38" s="12">
        <f t="shared" si="2"/>
        <v>115</v>
      </c>
      <c r="M38" s="1" t="str">
        <f t="shared" si="3"/>
        <v>"method":"createLead","external_system_uid":"B2C - 9PointPlanWA","external_source_id":"</v>
      </c>
      <c r="N38" s="1" t="str">
        <f t="shared" si="4"/>
        <v>","name":"Petrus Minne","phone":"0828270644","lead_in_date":"22-March-2026 18:14:31","instance_uid":"793c83c2-f829-464c-ad82-a157cf85bf34","campaign_uid":"af7b2cbb-29a4-446b-b4fd-0199a060d9ad","email":"N/A","remark_message":"Source: Government Directory - Free State Agriculture (requested 2026-01-23) Smallholder farmer lead in the Free State.. Motivation: The vast distances between farms in the Free State make vehicle recovery impossible without a high-quality GPS tracking system.. Context: Department of Agriculture contact.","meta":{"additional_partner_field1":"Suburb","additional_partner_field2":"N/A Bloemfontein"}}</v>
      </c>
      <c r="O38" s="1" t="str">
        <f t="shared" si="5"/>
        <v>{"token":"611d6f1a-04a1-42eb-889f-c3ff8a29bf45","method":"createLead","external_system_uid":"B2C - 9PointPlanWA","external_source_id":"40","name":"Petrus Minne","phone":"0828270644","lead_in_date":"22-March-2026 18:14:31","instance_uid":"793c83c2-f829-464c-ad82-a157cf85bf34","campaign_uid":"af7b2cbb-29a4-446b-b4fd-0199a060d9ad","email":"N/A","remark_message":"Source: Government Directory - Free State Agriculture (requested 2026-01-23) Smallholder farmer lead in the Free State.. Motivation: The vast distances between farms in the Free State make vehicle recovery impossible without a high-quality GPS tracking system.. Context: Department of Agriculture contact.","meta":{"additional_partner_field1":"Suburb","additional_partner_field2":"N/A Bloemfontein"}}</v>
      </c>
      <c r="P38" s="1" t="s">
        <v>685</v>
      </c>
    </row>
    <row r="39" spans="1:16" ht="54" hidden="1" customHeight="1" x14ac:dyDescent="0.3">
      <c r="A39" s="1">
        <v>41</v>
      </c>
      <c r="B39" s="4" t="s">
        <v>200</v>
      </c>
      <c r="C39" s="5" t="s">
        <v>201</v>
      </c>
      <c r="D39" s="6" t="s">
        <v>626</v>
      </c>
      <c r="E39" s="10" t="s">
        <v>7</v>
      </c>
      <c r="F39" s="8" t="s">
        <v>202</v>
      </c>
      <c r="G39" s="9" t="s">
        <v>203</v>
      </c>
      <c r="H39" s="11" t="s">
        <v>204</v>
      </c>
      <c r="I39" s="1" t="str">
        <f t="shared" si="0"/>
        <v>0822612790</v>
      </c>
      <c r="J39" s="1" t="s">
        <v>684</v>
      </c>
      <c r="K39" s="1">
        <f t="shared" si="1"/>
        <v>50</v>
      </c>
      <c r="L39" s="12">
        <f t="shared" si="2"/>
        <v>115</v>
      </c>
      <c r="M39" s="1" t="str">
        <f t="shared" si="3"/>
        <v>"method":"createLead","external_system_uid":"B2C - 9PointPlanWA","external_source_id":"</v>
      </c>
      <c r="N39" s="1" t="str">
        <f t="shared" si="4"/>
        <v>","name":"Zonwabele Bastile","phone":"0822612790","lead_in_date":"22-March-2026 18:14:31","instance_uid":"793c83c2-f829-464c-ad82-a157cf85bf34","campaign_uid":"af7b2cbb-29a4-446b-b4fd-0199a060d9ad","email":"N/A","remark_message":"Source: Government Directory - WC Agriculture (requested 2026-01-23) Western Cape small-scale farmer entrepreneur.. Motivation: Trackers in delivery bakkies help ensure that fresh produce is being transported along the most efficient routes to Cape Town markets.. Context: Western Cape Department of Agriculture contact.","meta":{"additional_partner_field1":"Suburb","additional_partner_field2":"N/A Cape Town"}}</v>
      </c>
      <c r="O39" s="1" t="str">
        <f t="shared" si="5"/>
        <v>{"token":"611d6f1a-04a1-42eb-889f-c3ff8a29bf45","method":"createLead","external_system_uid":"B2C - 9PointPlanWA","external_source_id":"41","name":"Zonwabele Bastile","phone":"0822612790","lead_in_date":"22-March-2026 18:14:31","instance_uid":"793c83c2-f829-464c-ad82-a157cf85bf34","campaign_uid":"af7b2cbb-29a4-446b-b4fd-0199a060d9ad","email":"N/A","remark_message":"Source: Government Directory - WC Agriculture (requested 2026-01-23) Western Cape small-scale farmer entrepreneur.. Motivation: Trackers in delivery bakkies help ensure that fresh produce is being transported along the most efficient routes to Cape Town markets.. Context: Western Cape Department of Agriculture contact.","meta":{"additional_partner_field1":"Suburb","additional_partner_field2":"N/A Cape Town"}}</v>
      </c>
      <c r="P39" s="1" t="s">
        <v>685</v>
      </c>
    </row>
    <row r="40" spans="1:16" ht="54" hidden="1" customHeight="1" x14ac:dyDescent="0.3">
      <c r="A40" s="1">
        <v>42</v>
      </c>
      <c r="B40" s="4" t="s">
        <v>205</v>
      </c>
      <c r="C40" s="5" t="s">
        <v>206</v>
      </c>
      <c r="D40" s="6" t="s">
        <v>627</v>
      </c>
      <c r="E40" s="10" t="s">
        <v>7</v>
      </c>
      <c r="F40" s="8" t="s">
        <v>207</v>
      </c>
      <c r="G40" s="9" t="s">
        <v>208</v>
      </c>
      <c r="H40" s="11" t="s">
        <v>209</v>
      </c>
      <c r="I40" s="1" t="str">
        <f t="shared" si="0"/>
        <v>0742649317</v>
      </c>
      <c r="J40" s="1" t="s">
        <v>684</v>
      </c>
      <c r="K40" s="1">
        <f t="shared" si="1"/>
        <v>50</v>
      </c>
      <c r="L40" s="12">
        <f t="shared" si="2"/>
        <v>115</v>
      </c>
      <c r="M40" s="1" t="str">
        <f t="shared" si="3"/>
        <v>"method":"createLead","external_system_uid":"B2C - 9PointPlanWA","external_source_id":"</v>
      </c>
      <c r="N40" s="1" t="str">
        <f t="shared" si="4"/>
        <v>","name":"Mervin (Daybreak Carpet Cleaning)","phone":"0742649317","lead_in_date":"22-March-2026 18:14:31","instance_uid":"793c83c2-f829-464c-ad82-a157cf85bf34","campaign_uid":"af7b2cbb-29a4-446b-b4fd-0199a060d9ad","email":"N/A","remark_message":"Source: Action Ads - Cleaning Service (requested 2026-02-04) Carpet cleaning business visiting various residential clients.. Motivation: Cleaning equipment is often left in the vehicle while the owner works inside houses; a tracker helps protect the stationary vehicle.. Context: Offers a professional cleaning service.","meta":{"additional_partner_field1":"Suburb","additional_partner_field2":"Hunters Home Knysna"}}</v>
      </c>
      <c r="O40" s="1" t="str">
        <f t="shared" si="5"/>
        <v>{"token":"611d6f1a-04a1-42eb-889f-c3ff8a29bf45","method":"createLead","external_system_uid":"B2C - 9PointPlanWA","external_source_id":"42","name":"Mervin (Daybreak Carpet Cleaning)","phone":"0742649317","lead_in_date":"22-March-2026 18:14:31","instance_uid":"793c83c2-f829-464c-ad82-a157cf85bf34","campaign_uid":"af7b2cbb-29a4-446b-b4fd-0199a060d9ad","email":"N/A","remark_message":"Source: Action Ads - Cleaning Service (requested 2026-02-04) Carpet cleaning business visiting various residential clients.. Motivation: Cleaning equipment is often left in the vehicle while the owner works inside houses; a tracker helps protect the stationary vehicle.. Context: Offers a professional cleaning service.","meta":{"additional_partner_field1":"Suburb","additional_partner_field2":"Hunters Home Knysna"}}</v>
      </c>
      <c r="P40" s="1" t="s">
        <v>685</v>
      </c>
    </row>
    <row r="41" spans="1:16" ht="54" hidden="1" customHeight="1" x14ac:dyDescent="0.3">
      <c r="A41" s="1">
        <v>43</v>
      </c>
      <c r="B41" s="4" t="s">
        <v>23</v>
      </c>
      <c r="C41" s="5" t="s">
        <v>210</v>
      </c>
      <c r="D41" s="6" t="s">
        <v>628</v>
      </c>
      <c r="E41" s="7" t="s">
        <v>211</v>
      </c>
      <c r="F41" s="8" t="s">
        <v>212</v>
      </c>
      <c r="G41" s="9" t="s">
        <v>213</v>
      </c>
      <c r="H41" s="11" t="s">
        <v>214</v>
      </c>
      <c r="I41" s="1" t="str">
        <f t="shared" si="0"/>
        <v>0712717734</v>
      </c>
      <c r="J41" s="1" t="s">
        <v>684</v>
      </c>
      <c r="K41" s="1">
        <f t="shared" si="1"/>
        <v>50</v>
      </c>
      <c r="L41" s="12">
        <f t="shared" si="2"/>
        <v>115</v>
      </c>
      <c r="M41" s="1" t="str">
        <f t="shared" si="3"/>
        <v>"method":"createLead","external_system_uid":"B2C - 9PointPlanWA","external_source_id":"</v>
      </c>
      <c r="N41" s="1" t="str">
        <f t="shared" si="4"/>
        <v>","name":"24/7 Plumbers Brooklyn","phone":"0712717734","lead_in_date":"22-March-2026 18:14:31","instance_uid":"793c83c2-f829-464c-ad82-a157cf85bf34","campaign_uid":"af7b2cbb-29a4-446b-b4fd-0199a060d9ad","email":"a247fix@hotmail.com","remark_message":"Source: Google - Plumber (requested 2026-03-20) High-volume emergency plumbing provider.. Motivation: Preventing high fuel costs from excessive idling and speeding is a direct benefit of an advanced tracking and fleet management system.. Context: Serves Pretoria East, North, and Centurion.","meta":{"additional_partner_field1":"Suburb","additional_partner_field2":"Brooklyn Pretoria"}}</v>
      </c>
      <c r="O41" s="1" t="str">
        <f t="shared" si="5"/>
        <v>{"token":"611d6f1a-04a1-42eb-889f-c3ff8a29bf45","method":"createLead","external_system_uid":"B2C - 9PointPlanWA","external_source_id":"43","name":"24/7 Plumbers Brooklyn","phone":"0712717734","lead_in_date":"22-March-2026 18:14:31","instance_uid":"793c83c2-f829-464c-ad82-a157cf85bf34","campaign_uid":"af7b2cbb-29a4-446b-b4fd-0199a060d9ad","email":"a247fix@hotmail.com","remark_message":"Source: Google - Plumber (requested 2026-03-20) High-volume emergency plumbing provider.. Motivation: Preventing high fuel costs from excessive idling and speeding is a direct benefit of an advanced tracking and fleet management system.. Context: Serves Pretoria East, North, and Centurion.","meta":{"additional_partner_field1":"Suburb","additional_partner_field2":"Brooklyn Pretoria"}}</v>
      </c>
    </row>
    <row r="42" spans="1:16" ht="54" hidden="1" customHeight="1" x14ac:dyDescent="0.3">
      <c r="A42" s="1">
        <v>44</v>
      </c>
      <c r="B42" s="4" t="s">
        <v>215</v>
      </c>
      <c r="C42" s="5" t="s">
        <v>216</v>
      </c>
      <c r="D42" s="6" t="s">
        <v>629</v>
      </c>
      <c r="E42" s="10" t="s">
        <v>7</v>
      </c>
      <c r="F42" s="8" t="s">
        <v>217</v>
      </c>
      <c r="G42" s="9" t="s">
        <v>218</v>
      </c>
      <c r="H42" s="11" t="s">
        <v>219</v>
      </c>
      <c r="I42" s="1" t="str">
        <f t="shared" si="0"/>
        <v>0824476116</v>
      </c>
      <c r="J42" s="1" t="s">
        <v>684</v>
      </c>
      <c r="K42" s="1">
        <f t="shared" si="1"/>
        <v>50</v>
      </c>
      <c r="L42" s="12">
        <f t="shared" si="2"/>
        <v>115</v>
      </c>
      <c r="M42" s="1" t="str">
        <f t="shared" si="3"/>
        <v>"method":"createLead","external_system_uid":"B2C - 9PointPlanWA","external_source_id":"</v>
      </c>
      <c r="N42" s="1" t="str">
        <f t="shared" si="4"/>
        <v>","name":"Sifiso (Matrix Client Installation)","phone":"0824476116","lead_in_date":"22-March-2026 18:14:31","instance_uid":"793c83c2-f829-464c-ad82-a157cf85bf34","campaign_uid":"af7b2cbb-29a4-446b-b4fd-0199a060d9ad","email":"N/A","remark_message":"Source: HelloPeter - Stolen Vehicle Story (requested 2026-03-12) Small business owner who recently experienced a hijacking incident.. Motivation: After a traumatic hijacking, immediate recovery is the only way to avoid the devastating financial loss of the business's main asset.. Context: Mentioned in a review as having a high-risk profile.","meta":{"additional_partner_field1":"Suburb","additional_partner_field2":"Sandton Johannesburg"}}</v>
      </c>
      <c r="O42" s="1" t="str">
        <f t="shared" si="5"/>
        <v>{"token":"611d6f1a-04a1-42eb-889f-c3ff8a29bf45","method":"createLead","external_system_uid":"B2C - 9PointPlanWA","external_source_id":"44","name":"Sifiso (Matrix Client Installation)","phone":"0824476116","lead_in_date":"22-March-2026 18:14:31","instance_uid":"793c83c2-f829-464c-ad82-a157cf85bf34","campaign_uid":"af7b2cbb-29a4-446b-b4fd-0199a060d9ad","email":"N/A","remark_message":"Source: HelloPeter - Stolen Vehicle Story (requested 2026-03-12) Small business owner who recently experienced a hijacking incident.. Motivation: After a traumatic hijacking, immediate recovery is the only way to avoid the devastating financial loss of the business's main asset.. Context: Mentioned in a review as having a high-risk profile.","meta":{"additional_partner_field1":"Suburb","additional_partner_field2":"Sandton Johannesburg"}}</v>
      </c>
      <c r="P42" s="1" t="s">
        <v>685</v>
      </c>
    </row>
    <row r="43" spans="1:16" ht="54" hidden="1" customHeight="1" x14ac:dyDescent="0.3">
      <c r="A43" s="1">
        <v>45</v>
      </c>
      <c r="B43" s="4" t="s">
        <v>220</v>
      </c>
      <c r="C43" s="5" t="s">
        <v>221</v>
      </c>
      <c r="D43" s="6" t="s">
        <v>630</v>
      </c>
      <c r="E43" s="10" t="s">
        <v>7</v>
      </c>
      <c r="F43" s="8" t="s">
        <v>222</v>
      </c>
      <c r="G43" s="9" t="s">
        <v>223</v>
      </c>
      <c r="H43" s="11" t="s">
        <v>224</v>
      </c>
      <c r="I43" s="1" t="str">
        <f t="shared" si="0"/>
        <v>0117600000</v>
      </c>
      <c r="J43" s="1" t="s">
        <v>684</v>
      </c>
      <c r="K43" s="1">
        <f t="shared" si="1"/>
        <v>50</v>
      </c>
      <c r="L43" s="12">
        <f t="shared" si="2"/>
        <v>115</v>
      </c>
      <c r="M43" s="1" t="str">
        <f t="shared" si="3"/>
        <v>"method":"createLead","external_system_uid":"B2C - 9PointPlanWA","external_source_id":"</v>
      </c>
      <c r="N43" s="1" t="str">
        <f t="shared" si="4"/>
        <v>","name":"Skygistics (Excuss Logistics)","phone":"0117600000","lead_in_date":"22-March-2026 18:14:31","instance_uid":"793c83c2-f829-464c-ad82-a157cf85bf34","campaign_uid":"af7b2cbb-29a4-446b-b4fd-0199a060d9ad","email":"N/A","remark_message":"Source: Google - Logistics (requested 2026-03-07) Small logistics and transport company.. Motivation: Cargo security is the primary concern for clients hiring bakkies for removals; proof of tracking is a competitive advantage.. Context: Based in Roodepoort.","meta":{"additional_partner_field1":"Suburb","additional_partner_field2":"Roodepoort Johannesburg"}}</v>
      </c>
      <c r="O43" s="1" t="str">
        <f t="shared" si="5"/>
        <v>{"token":"611d6f1a-04a1-42eb-889f-c3ff8a29bf45","method":"createLead","external_system_uid":"B2C - 9PointPlanWA","external_source_id":"45","name":"Skygistics (Excuss Logistics)","phone":"0117600000","lead_in_date":"22-March-2026 18:14:31","instance_uid":"793c83c2-f829-464c-ad82-a157cf85bf34","campaign_uid":"af7b2cbb-29a4-446b-b4fd-0199a060d9ad","email":"N/A","remark_message":"Source: Google - Logistics (requested 2026-03-07) Small logistics and transport company.. Motivation: Cargo security is the primary concern for clients hiring bakkies for removals; proof of tracking is a competitive advantage.. Context: Based in Roodepoort.","meta":{"additional_partner_field1":"Suburb","additional_partner_field2":"Roodepoort Johannesburg"}}</v>
      </c>
    </row>
    <row r="44" spans="1:16" ht="54" hidden="1" customHeight="1" x14ac:dyDescent="0.3">
      <c r="A44" s="1">
        <v>46</v>
      </c>
      <c r="B44" s="4" t="s">
        <v>225</v>
      </c>
      <c r="C44" s="5" t="s">
        <v>226</v>
      </c>
      <c r="D44" s="6" t="s">
        <v>631</v>
      </c>
      <c r="E44" s="7" t="s">
        <v>227</v>
      </c>
      <c r="F44" s="8" t="s">
        <v>228</v>
      </c>
      <c r="G44" s="9" t="s">
        <v>229</v>
      </c>
      <c r="H44" s="11" t="s">
        <v>230</v>
      </c>
      <c r="I44" s="1" t="str">
        <f t="shared" si="0"/>
        <v>0832814242</v>
      </c>
      <c r="J44" s="1" t="s">
        <v>684</v>
      </c>
      <c r="K44" s="1">
        <f t="shared" si="1"/>
        <v>50</v>
      </c>
      <c r="L44" s="12">
        <f t="shared" si="2"/>
        <v>115</v>
      </c>
      <c r="M44" s="1" t="str">
        <f t="shared" si="3"/>
        <v>"method":"createLead","external_system_uid":"B2C - 9PointPlanWA","external_source_id":"</v>
      </c>
      <c r="N44" s="1" t="str">
        <f t="shared" si="4"/>
        <v>","name":"Stanton Crossman (Out of the GreenBox)","phone":"0832814242","lead_in_date":"22-March-2026 18:14:31","instance_uid":"793c83c2-f829-464c-ad82-a157cf85bf34","campaign_uid":"af7b2cbb-29a4-446b-b4fd-0199a060d9ad","email":"Stanton@outthegreenbox.co.za","remark_message":"Source: Google - Solar/Eco Business (requested 2026-01-16) Eco-friendly energy solution provider with mobile installation teams.. Motivation: Tracking systems allow for better scheduling of solar panel deliveries, which are heavy and sensitive to handle.. Context: Located in East London.","meta":{"additional_partner_field1":"Suburb","additional_partner_field2":"Nahoon East London"}}</v>
      </c>
      <c r="O44" s="1" t="str">
        <f t="shared" si="5"/>
        <v>{"token":"611d6f1a-04a1-42eb-889f-c3ff8a29bf45","method":"createLead","external_system_uid":"B2C - 9PointPlanWA","external_source_id":"46","name":"Stanton Crossman (Out of the GreenBox)","phone":"0832814242","lead_in_date":"22-March-2026 18:14:31","instance_uid":"793c83c2-f829-464c-ad82-a157cf85bf34","campaign_uid":"af7b2cbb-29a4-446b-b4fd-0199a060d9ad","email":"Stanton@outthegreenbox.co.za","remark_message":"Source: Google - Solar/Eco Business (requested 2026-01-16) Eco-friendly energy solution provider with mobile installation teams.. Motivation: Tracking systems allow for better scheduling of solar panel deliveries, which are heavy and sensitive to handle.. Context: Located in East London.","meta":{"additional_partner_field1":"Suburb","additional_partner_field2":"Nahoon East London"}}</v>
      </c>
    </row>
    <row r="45" spans="1:16" ht="54" hidden="1" customHeight="1" x14ac:dyDescent="0.3">
      <c r="A45" s="1">
        <v>47</v>
      </c>
      <c r="B45" s="4" t="s">
        <v>225</v>
      </c>
      <c r="C45" s="5" t="s">
        <v>231</v>
      </c>
      <c r="D45" s="6" t="s">
        <v>632</v>
      </c>
      <c r="E45" s="10" t="s">
        <v>7</v>
      </c>
      <c r="F45" s="8" t="s">
        <v>232</v>
      </c>
      <c r="G45" s="9" t="s">
        <v>233</v>
      </c>
      <c r="H45" s="11" t="s">
        <v>234</v>
      </c>
      <c r="I45" s="1" t="str">
        <f t="shared" si="0"/>
        <v>0823763206</v>
      </c>
      <c r="J45" s="1" t="s">
        <v>684</v>
      </c>
      <c r="K45" s="1">
        <f t="shared" si="1"/>
        <v>50</v>
      </c>
      <c r="L45" s="12">
        <f t="shared" si="2"/>
        <v>115</v>
      </c>
      <c r="M45" s="1" t="str">
        <f t="shared" si="3"/>
        <v>"method":"createLead","external_system_uid":"B2C - 9PointPlanWA","external_source_id":"</v>
      </c>
      <c r="N45" s="1" t="str">
        <f t="shared" si="4"/>
        <v>","name":"Craig Powell (Out of the GreenBox)","phone":"0823763206","lead_in_date":"22-March-2026 18:14:31","instance_uid":"793c83c2-f829-464c-ad82-a157cf85bf34","campaign_uid":"af7b2cbb-29a4-446b-b4fd-0199a060d9ad","email":"N/A","remark_message":"Source: Google - Solar/Eco Business (requested 2026-01-16) Small business installation manager.. Motivation: Protect the specialized service vehicles from theft in industrial areas where solar components are often targeted.. Context: Port Elizabeth branch contact.","meta":{"additional_partner_field1":"Suburb","additional_partner_field2":"Walmer Gqeberha"}}</v>
      </c>
      <c r="O45" s="1" t="str">
        <f t="shared" si="5"/>
        <v>{"token":"611d6f1a-04a1-42eb-889f-c3ff8a29bf45","method":"createLead","external_system_uid":"B2C - 9PointPlanWA","external_source_id":"47","name":"Craig Powell (Out of the GreenBox)","phone":"0823763206","lead_in_date":"22-March-2026 18:14:31","instance_uid":"793c83c2-f829-464c-ad82-a157cf85bf34","campaign_uid":"af7b2cbb-29a4-446b-b4fd-0199a060d9ad","email":"N/A","remark_message":"Source: Google - Solar/Eco Business (requested 2026-01-16) Small business installation manager.. Motivation: Protect the specialized service vehicles from theft in industrial areas where solar components are often targeted.. Context: Port Elizabeth branch contact.","meta":{"additional_partner_field1":"Suburb","additional_partner_field2":"Walmer Gqeberha"}}</v>
      </c>
      <c r="P45" s="1" t="s">
        <v>685</v>
      </c>
    </row>
    <row r="46" spans="1:16" ht="54" hidden="1" customHeight="1" x14ac:dyDescent="0.3">
      <c r="A46" s="1">
        <v>48</v>
      </c>
      <c r="B46" s="4" t="s">
        <v>235</v>
      </c>
      <c r="C46" s="5" t="s">
        <v>236</v>
      </c>
      <c r="D46" s="6" t="s">
        <v>633</v>
      </c>
      <c r="E46" s="7" t="s">
        <v>237</v>
      </c>
      <c r="F46" s="8" t="s">
        <v>238</v>
      </c>
      <c r="G46" s="9" t="s">
        <v>239</v>
      </c>
      <c r="H46" s="11" t="s">
        <v>240</v>
      </c>
      <c r="I46" s="1" t="str">
        <f t="shared" si="0"/>
        <v>0827748944</v>
      </c>
      <c r="J46" s="1" t="s">
        <v>684</v>
      </c>
      <c r="K46" s="1">
        <f t="shared" si="1"/>
        <v>50</v>
      </c>
      <c r="L46" s="12">
        <f t="shared" si="2"/>
        <v>115</v>
      </c>
      <c r="M46" s="1" t="str">
        <f t="shared" si="3"/>
        <v>"method":"createLead","external_system_uid":"B2C - 9PointPlanWA","external_source_id":"</v>
      </c>
      <c r="N46" s="1" t="str">
        <f t="shared" si="4"/>
        <v>","name":"Trevor Angus (AIT Consulting)","phone":"0827748944","lead_in_date":"22-March-2026 18:14:31","instance_uid":"793c83c2-f829-464c-ad82-a157cf85bf34","campaign_uid":"af7b2cbb-29a4-446b-b4fd-0199a060d9ad","email":"trevor.angus@ait-consulting.co.za","remark_message":"Source: Google - Consultant (requested 2026-01-16) Mobile technical consultant frequently traveling between sites.. Motivation: Frequent travel between industrial sites increases exposure to theft; a discreet tracker is a necessary safety net.. Context: Consultant for high-tech energy projects.","meta":{"additional_partner_field1":"Suburb","additional_partner_field2":"Centurion Pretoria"}}</v>
      </c>
      <c r="O46" s="1" t="str">
        <f t="shared" si="5"/>
        <v>{"token":"611d6f1a-04a1-42eb-889f-c3ff8a29bf45","method":"createLead","external_system_uid":"B2C - 9PointPlanWA","external_source_id":"48","name":"Trevor Angus (AIT Consulting)","phone":"0827748944","lead_in_date":"22-March-2026 18:14:31","instance_uid":"793c83c2-f829-464c-ad82-a157cf85bf34","campaign_uid":"af7b2cbb-29a4-446b-b4fd-0199a060d9ad","email":"trevor.angus@ait-consulting.co.za","remark_message":"Source: Google - Consultant (requested 2026-01-16) Mobile technical consultant frequently traveling between sites.. Motivation: Frequent travel between industrial sites increases exposure to theft; a discreet tracker is a necessary safety net.. Context: Consultant for high-tech energy projects.","meta":{"additional_partner_field1":"Suburb","additional_partner_field2":"Centurion Pretoria"}}</v>
      </c>
      <c r="P46" s="1" t="s">
        <v>685</v>
      </c>
    </row>
    <row r="47" spans="1:16" ht="54" hidden="1" customHeight="1" x14ac:dyDescent="0.3">
      <c r="A47" s="1">
        <v>49</v>
      </c>
      <c r="B47" s="4" t="s">
        <v>241</v>
      </c>
      <c r="C47" s="5" t="s">
        <v>242</v>
      </c>
      <c r="D47" s="6" t="s">
        <v>634</v>
      </c>
      <c r="E47" s="7" t="s">
        <v>243</v>
      </c>
      <c r="F47" s="8" t="s">
        <v>244</v>
      </c>
      <c r="G47" s="9" t="s">
        <v>245</v>
      </c>
      <c r="H47" s="11" t="s">
        <v>246</v>
      </c>
      <c r="I47" s="1" t="str">
        <f t="shared" si="0"/>
        <v>0844427844</v>
      </c>
      <c r="J47" s="1" t="s">
        <v>684</v>
      </c>
      <c r="K47" s="1">
        <f t="shared" si="1"/>
        <v>50</v>
      </c>
      <c r="L47" s="12">
        <f t="shared" si="2"/>
        <v>115</v>
      </c>
      <c r="M47" s="1" t="str">
        <f t="shared" si="3"/>
        <v>"method":"createLead","external_system_uid":"B2C - 9PointPlanWA","external_source_id":"</v>
      </c>
      <c r="N47" s="1" t="str">
        <f t="shared" si="4"/>
        <v>","name":"Nick Vauqulin (Solar Charge Solutions)","phone":"0844427844","lead_in_date":"22-March-2026 18:14:31","instance_uid":"793c83c2-f829-464c-ad82-a157cf85bf34","campaign_uid":"af7b2cbb-29a4-446b-b4fd-0199a060d9ad","email":"nick@solarchargesolutions.co.za","remark_message":"Source: Google - Solar Business (requested 2026-01-16) Small business providing specialized solar charging services.. Motivation: A tracking unit with 'jamming detection' is vital in South Africa to combat high-tech thieves who target modern solar service vans.. Context: Active in renewable energy space.","meta":{"additional_partner_field1":"Suburb","additional_partner_field2":"N/A Cape Town"}}</v>
      </c>
      <c r="O47" s="1" t="str">
        <f t="shared" si="5"/>
        <v>{"token":"611d6f1a-04a1-42eb-889f-c3ff8a29bf45","method":"createLead","external_system_uid":"B2C - 9PointPlanWA","external_source_id":"49","name":"Nick Vauqulin (Solar Charge Solutions)","phone":"0844427844","lead_in_date":"22-March-2026 18:14:31","instance_uid":"793c83c2-f829-464c-ad82-a157cf85bf34","campaign_uid":"af7b2cbb-29a4-446b-b4fd-0199a060d9ad","email":"nick@solarchargesolutions.co.za","remark_message":"Source: Google - Solar Business (requested 2026-01-16) Small business providing specialized solar charging services.. Motivation: A tracking unit with 'jamming detection' is vital in South Africa to combat high-tech thieves who target modern solar service vans.. Context: Active in renewable energy space.","meta":{"additional_partner_field1":"Suburb","additional_partner_field2":"N/A Cape Town"}}</v>
      </c>
      <c r="P47" s="1" t="s">
        <v>685</v>
      </c>
    </row>
    <row r="48" spans="1:16" ht="54" hidden="1" customHeight="1" x14ac:dyDescent="0.3">
      <c r="A48" s="1">
        <v>50</v>
      </c>
      <c r="B48" s="4" t="s">
        <v>247</v>
      </c>
      <c r="C48" s="5" t="s">
        <v>248</v>
      </c>
      <c r="D48" s="6" t="s">
        <v>635</v>
      </c>
      <c r="E48" s="7" t="s">
        <v>249</v>
      </c>
      <c r="F48" s="8" t="s">
        <v>250</v>
      </c>
      <c r="G48" s="9" t="s">
        <v>251</v>
      </c>
      <c r="H48" s="11" t="s">
        <v>252</v>
      </c>
      <c r="I48" s="1" t="str">
        <f t="shared" si="0"/>
        <v>0715794977</v>
      </c>
      <c r="J48" s="1" t="s">
        <v>684</v>
      </c>
      <c r="K48" s="1">
        <f t="shared" si="1"/>
        <v>50</v>
      </c>
      <c r="L48" s="12">
        <f t="shared" si="2"/>
        <v>115</v>
      </c>
      <c r="M48" s="1" t="str">
        <f t="shared" si="3"/>
        <v>"method":"createLead","external_system_uid":"B2C - 9PointPlanWA","external_source_id":"</v>
      </c>
      <c r="N48" s="1" t="str">
        <f t="shared" si="4"/>
        <v>","name":"MyHygiene (Kya Sands Office)","phone":"0715794977","lead_in_date":"22-March-2026 18:14:31","instance_uid":"793c83c2-f829-464c-ad82-a157cf85bf34","campaign_uid":"af7b2cbb-29a4-446b-b4fd-0199a060d9ad","email":"sales@myhygiene.co.za","remark_message":"Source: Buyer's Guide - Cleaning Supplies (requested 2026-01-30) Small business distributing cleaning consumables via delivery vans.. Motivation: Delivery vans carrying significant stock are high-risk; tracking ensures the stock reaches the client and remains insured.. Context: Located in Randburg industrial hub.","meta":{"additional_partner_field1":"Suburb","additional_partner_field2":"Kya Sands Johannesburg"}}</v>
      </c>
      <c r="O48" s="1" t="str">
        <f t="shared" si="5"/>
        <v>{"token":"611d6f1a-04a1-42eb-889f-c3ff8a29bf45","method":"createLead","external_system_uid":"B2C - 9PointPlanWA","external_source_id":"50","name":"MyHygiene (Kya Sands Office)","phone":"0715794977","lead_in_date":"22-March-2026 18:14:31","instance_uid":"793c83c2-f829-464c-ad82-a157cf85bf34","campaign_uid":"af7b2cbb-29a4-446b-b4fd-0199a060d9ad","email":"sales@myhygiene.co.za","remark_message":"Source: Buyer's Guide - Cleaning Supplies (requested 2026-01-30) Small business distributing cleaning consumables via delivery vans.. Motivation: Delivery vans carrying significant stock are high-risk; tracking ensures the stock reaches the client and remains insured.. Context: Located in Randburg industrial hub.","meta":{"additional_partner_field1":"Suburb","additional_partner_field2":"Kya Sands Johannesburg"}}</v>
      </c>
    </row>
    <row r="49" spans="1:16" ht="54" hidden="1" customHeight="1" x14ac:dyDescent="0.3">
      <c r="A49" s="1">
        <v>51</v>
      </c>
      <c r="B49" s="4" t="s">
        <v>253</v>
      </c>
      <c r="C49" s="5" t="s">
        <v>254</v>
      </c>
      <c r="D49" s="6" t="s">
        <v>636</v>
      </c>
      <c r="E49" s="7" t="s">
        <v>255</v>
      </c>
      <c r="F49" s="8" t="s">
        <v>256</v>
      </c>
      <c r="G49" s="9" t="s">
        <v>257</v>
      </c>
      <c r="H49" s="11" t="s">
        <v>258</v>
      </c>
      <c r="I49" s="1" t="str">
        <f t="shared" si="0"/>
        <v>0823317200</v>
      </c>
      <c r="J49" s="1" t="s">
        <v>684</v>
      </c>
      <c r="K49" s="1">
        <f t="shared" si="1"/>
        <v>50</v>
      </c>
      <c r="L49" s="12">
        <f t="shared" si="2"/>
        <v>115</v>
      </c>
      <c r="M49" s="1" t="str">
        <f t="shared" si="3"/>
        <v>"method":"createLead","external_system_uid":"B2C - 9PointPlanWA","external_source_id":"</v>
      </c>
      <c r="N49" s="1" t="str">
        <f t="shared" si="4"/>
        <v>","name":"Smart Waste (Irene Office)","phone":"0823317200","lead_in_date":"22-March-2026 18:14:31","instance_uid":"793c83c2-f829-464c-ad82-a157cf85bf34","campaign_uid":"af7b2cbb-29a4-446b-b4fd-0199a060d9ad","email":"info@smartwaste.co.za","remark_message":"Source: Buyer's Guide - Facility Solutions (requested 2026-01-30) Waste management and facility solution SME.. Motivation: Manage a fleet of specialized waste collection vehicles and ensure they adhere to strict environmental service level agreements (SLAs).. Context: Serves Pretoria and Gauteng areas.","meta":{"additional_partner_field1":"Suburb","additional_partner_field2":"Irene Pretoria"}}</v>
      </c>
      <c r="O49" s="1" t="str">
        <f t="shared" si="5"/>
        <v>{"token":"611d6f1a-04a1-42eb-889f-c3ff8a29bf45","method":"createLead","external_system_uid":"B2C - 9PointPlanWA","external_source_id":"51","name":"Smart Waste (Irene Office)","phone":"0823317200","lead_in_date":"22-March-2026 18:14:31","instance_uid":"793c83c2-f829-464c-ad82-a157cf85bf34","campaign_uid":"af7b2cbb-29a4-446b-b4fd-0199a060d9ad","email":"info@smartwaste.co.za","remark_message":"Source: Buyer's Guide - Facility Solutions (requested 2026-01-30) Waste management and facility solution SME.. Motivation: Manage a fleet of specialized waste collection vehicles and ensure they adhere to strict environmental service level agreements (SLAs).. Context: Serves Pretoria and Gauteng areas.","meta":{"additional_partner_field1":"Suburb","additional_partner_field2":"Irene Pretoria"}}</v>
      </c>
    </row>
    <row r="50" spans="1:16" ht="54" hidden="1" customHeight="1" x14ac:dyDescent="0.3">
      <c r="A50" s="1">
        <v>52</v>
      </c>
      <c r="B50" s="4" t="s">
        <v>259</v>
      </c>
      <c r="C50" s="5" t="s">
        <v>260</v>
      </c>
      <c r="D50" s="6" t="s">
        <v>637</v>
      </c>
      <c r="E50" s="7" t="s">
        <v>261</v>
      </c>
      <c r="F50" s="8" t="s">
        <v>262</v>
      </c>
      <c r="G50" s="9" t="s">
        <v>263</v>
      </c>
      <c r="H50" s="11" t="s">
        <v>264</v>
      </c>
      <c r="I50" s="1" t="str">
        <f t="shared" si="0"/>
        <v>0822279926</v>
      </c>
      <c r="J50" s="1" t="s">
        <v>684</v>
      </c>
      <c r="K50" s="1">
        <f t="shared" si="1"/>
        <v>50</v>
      </c>
      <c r="L50" s="12">
        <f t="shared" si="2"/>
        <v>115</v>
      </c>
      <c r="M50" s="1" t="str">
        <f t="shared" si="3"/>
        <v>"method":"createLead","external_system_uid":"B2C - 9PointPlanWA","external_source_id":"</v>
      </c>
      <c r="N50" s="1" t="str">
        <f t="shared" si="4"/>
        <v>","name":"Oroafrica Order Team","phone":"0822279926","lead_in_date":"22-March-2026 18:14:31","instance_uid":"793c83c2-f829-464c-ad82-a157cf85bf34","campaign_uid":"af7b2cbb-29a4-446b-b4fd-0199a060d9ad","email":"orders@oroafrica.com","remark_message":"Source: Google - Courier/Jewellery Delivery (requested 2026-03-14) Delivery service for high-value jewellery and items.. Motivation: Transporting jewellery is extremely high-risk; multiple tracking units and real-time monitoring are non-negotiable for insurance.. Context: Uses interdependent 3rd party couriers frequently.","meta":{"additional_partner_field1":"Suburb","additional_partner_field2":"City Centre Cape Town"}}</v>
      </c>
      <c r="O50" s="1" t="str">
        <f t="shared" si="5"/>
        <v>{"token":"611d6f1a-04a1-42eb-889f-c3ff8a29bf45","method":"createLead","external_system_uid":"B2C - 9PointPlanWA","external_source_id":"52","name":"Oroafrica Order Team","phone":"0822279926","lead_in_date":"22-March-2026 18:14:31","instance_uid":"793c83c2-f829-464c-ad82-a157cf85bf34","campaign_uid":"af7b2cbb-29a4-446b-b4fd-0199a060d9ad","email":"orders@oroafrica.com","remark_message":"Source: Google - Courier/Jewellery Delivery (requested 2026-03-14) Delivery service for high-value jewellery and items.. Motivation: Transporting jewellery is extremely high-risk; multiple tracking units and real-time monitoring are non-negotiable for insurance.. Context: Uses interdependent 3rd party couriers frequently.","meta":{"additional_partner_field1":"Suburb","additional_partner_field2":"City Centre Cape Town"}}</v>
      </c>
    </row>
    <row r="51" spans="1:16" ht="54" hidden="1" customHeight="1" x14ac:dyDescent="0.3">
      <c r="A51" s="1">
        <v>53</v>
      </c>
      <c r="B51" s="4" t="s">
        <v>8</v>
      </c>
      <c r="C51" s="5" t="s">
        <v>265</v>
      </c>
      <c r="D51" s="6" t="s">
        <v>591</v>
      </c>
      <c r="E51" s="7" t="s">
        <v>19</v>
      </c>
      <c r="F51" s="8" t="s">
        <v>266</v>
      </c>
      <c r="G51" s="9" t="s">
        <v>267</v>
      </c>
      <c r="H51" s="11" t="s">
        <v>268</v>
      </c>
      <c r="I51" s="1" t="str">
        <f t="shared" si="0"/>
        <v>0718774843</v>
      </c>
      <c r="J51" s="1" t="s">
        <v>684</v>
      </c>
      <c r="K51" s="1">
        <f t="shared" si="1"/>
        <v>50</v>
      </c>
      <c r="L51" s="12">
        <f t="shared" si="2"/>
        <v>115</v>
      </c>
      <c r="M51" s="1" t="str">
        <f t="shared" si="3"/>
        <v>"method":"createLead","external_system_uid":"B2C - 9PointPlanWA","external_source_id":"</v>
      </c>
      <c r="N51" s="1" t="str">
        <f t="shared" si="4"/>
        <v>","name":"Ralph (BCN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Lead technician for a small business electrical crew.. Motivation: Provide proof of time spent on-site to clients through automated tracker logs to resolve billing disputes quickly.. Context: Focused on residential and commercial maintenance.","meta":{"additional_partner_field1":"Suburb","additional_partner_field2":"La Lucia Durban"}}</v>
      </c>
      <c r="O51" s="1" t="str">
        <f t="shared" si="5"/>
        <v>{"token":"611d6f1a-04a1-42eb-889f-c3ff8a29bf45","method":"createLead","external_system_uid":"B2C - 9PointPlanWA","external_source_id":"53","name":"Ralph (BCN Electrical)","phone":"0718774843","lead_in_date":"22-March-2026 18:14:31","instance_uid":"793c83c2-f829-464c-ad82-a157cf85bf34","campaign_uid":"af7b2cbb-29a4-446b-b4fd-0199a060d9ad","email":"info@bluecordnine.co.za","remark_message":"Source: Google - Electrician (requested 2026-03-12) Lead technician for a small business electrical crew.. Motivation: Provide proof of time spent on-site to clients through automated tracker logs to resolve billing disputes quickly.. Context: Focused on residential and commercial maintenance.","meta":{"additional_partner_field1":"Suburb","additional_partner_field2":"La Lucia Durban"}}</v>
      </c>
      <c r="P51" s="1" t="s">
        <v>685</v>
      </c>
    </row>
    <row r="52" spans="1:16" ht="54" hidden="1" customHeight="1" x14ac:dyDescent="0.3">
      <c r="A52" s="1">
        <v>54</v>
      </c>
      <c r="B52" s="4" t="s">
        <v>269</v>
      </c>
      <c r="C52" s="5" t="s">
        <v>270</v>
      </c>
      <c r="D52" s="6" t="s">
        <v>638</v>
      </c>
      <c r="E52" s="7" t="s">
        <v>271</v>
      </c>
      <c r="F52" s="8" t="s">
        <v>272</v>
      </c>
      <c r="G52" s="9" t="s">
        <v>273</v>
      </c>
      <c r="H52" s="11" t="s">
        <v>274</v>
      </c>
      <c r="I52" s="1" t="str">
        <f t="shared" si="0"/>
        <v>0416300350</v>
      </c>
      <c r="J52" s="1" t="s">
        <v>684</v>
      </c>
      <c r="K52" s="1">
        <f t="shared" si="1"/>
        <v>50</v>
      </c>
      <c r="L52" s="12">
        <f t="shared" si="2"/>
        <v>115</v>
      </c>
      <c r="M52" s="1" t="str">
        <f t="shared" si="3"/>
        <v>"method":"createLead","external_system_uid":"B2C - 9PointPlanWA","external_source_id":"</v>
      </c>
      <c r="N52" s="1" t="str">
        <f t="shared" si="4"/>
        <v>","name":"Andre Lindenberg (SA Herholdts Group)","phone":"0416300350","lead_in_date":"22-March-2026 18:14:31","instance_uid":"793c83c2-f829-464c-ad82-a157cf85bf34","campaign_uid":"af7b2cbb-29a4-446b-b4fd-0199a060d9ad","email":"info@herholdts.co.za","remark_message":"Source: Google - Solar Solutions (requested 2026-01-16) Business lead for solar distribution.. Motivation: Distribution trucks are prone to theft at delivery points; tracking helps secure the vehicle and the valuable inventory.. Context: Port Elizabeth based.","meta":{"additional_partner_field1":"Suburb","additional_partner_field2":"Sidwell Gqeberha"}}</v>
      </c>
      <c r="O52" s="1" t="str">
        <f t="shared" si="5"/>
        <v>{"token":"611d6f1a-04a1-42eb-889f-c3ff8a29bf45","method":"createLead","external_system_uid":"B2C - 9PointPlanWA","external_source_id":"54","name":"Andre Lindenberg (SA Herholdts Group)","phone":"0416300350","lead_in_date":"22-March-2026 18:14:31","instance_uid":"793c83c2-f829-464c-ad82-a157cf85bf34","campaign_uid":"af7b2cbb-29a4-446b-b4fd-0199a060d9ad","email":"info@herholdts.co.za","remark_message":"Source: Google - Solar Solutions (requested 2026-01-16) Business lead for solar distribution.. Motivation: Distribution trucks are prone to theft at delivery points; tracking helps secure the vehicle and the valuable inventory.. Context: Port Elizabeth based.","meta":{"additional_partner_field1":"Suburb","additional_partner_field2":"Sidwell Gqeberha"}}</v>
      </c>
      <c r="P52" s="1" t="s">
        <v>685</v>
      </c>
    </row>
    <row r="53" spans="1:16" ht="54" hidden="1" customHeight="1" x14ac:dyDescent="0.3">
      <c r="A53" s="1">
        <v>55</v>
      </c>
      <c r="B53" s="4" t="s">
        <v>275</v>
      </c>
      <c r="C53" s="5" t="s">
        <v>276</v>
      </c>
      <c r="D53" s="6" t="s">
        <v>639</v>
      </c>
      <c r="E53" s="7" t="s">
        <v>277</v>
      </c>
      <c r="F53" s="8" t="s">
        <v>278</v>
      </c>
      <c r="G53" s="9" t="s">
        <v>279</v>
      </c>
      <c r="H53" s="11" t="s">
        <v>280</v>
      </c>
      <c r="I53" s="1" t="str">
        <f t="shared" si="0"/>
        <v>0659687954</v>
      </c>
      <c r="J53" s="1" t="s">
        <v>684</v>
      </c>
      <c r="K53" s="1">
        <f t="shared" si="1"/>
        <v>50</v>
      </c>
      <c r="L53" s="12">
        <f t="shared" si="2"/>
        <v>115</v>
      </c>
      <c r="M53" s="1" t="str">
        <f t="shared" si="3"/>
        <v>"method":"createLead","external_system_uid":"B2C - 9PointPlanWA","external_source_id":"</v>
      </c>
      <c r="N53" s="1" t="str">
        <f t="shared" si="4"/>
        <v>","name":"Jeanett Mashao (Tshwane Housing Support)","phone":"0659687954","lead_in_date":"22-March-2026 18:14:31","instance_uid":"793c83c2-f829-464c-ad82-a157cf85bf34","campaign_uid":"af7b2cbb-29a4-446b-b4fd-0199a060d9ad","email":"jeanettemab@tshwane.gov.za","remark_message":"Source: Tshwane Tender - Service Provider (requested 2026-03-19) SME providing water meter installations to the city.. Motivation: Council contractors must often provide GPS proof of work locations to get paid; a tracker automates this reporting requirement.. Context: Small business artisan lead.","meta":{"additional_partner_field1":"Suburb","additional_partner_field2":"Pretoria Central Pretoria"}}</v>
      </c>
      <c r="O53" s="1" t="str">
        <f t="shared" si="5"/>
        <v>{"token":"611d6f1a-04a1-42eb-889f-c3ff8a29bf45","method":"createLead","external_system_uid":"B2C - 9PointPlanWA","external_source_id":"55","name":"Jeanett Mashao (Tshwane Housing Support)","phone":"0659687954","lead_in_date":"22-March-2026 18:14:31","instance_uid":"793c83c2-f829-464c-ad82-a157cf85bf34","campaign_uid":"af7b2cbb-29a4-446b-b4fd-0199a060d9ad","email":"jeanettemab@tshwane.gov.za","remark_message":"Source: Tshwane Tender - Service Provider (requested 2026-03-19) SME providing water meter installations to the city.. Motivation: Council contractors must often provide GPS proof of work locations to get paid; a tracker automates this reporting requirement.. Context: Small business artisan lead.","meta":{"additional_partner_field1":"Suburb","additional_partner_field2":"Pretoria Central Pretoria"}}</v>
      </c>
      <c r="P53" s="1" t="s">
        <v>685</v>
      </c>
    </row>
    <row r="54" spans="1:16" ht="54" hidden="1" customHeight="1" x14ac:dyDescent="0.3">
      <c r="A54" s="1">
        <v>56</v>
      </c>
      <c r="B54" s="4" t="s">
        <v>281</v>
      </c>
      <c r="C54" s="5" t="s">
        <v>282</v>
      </c>
      <c r="D54" s="6" t="s">
        <v>640</v>
      </c>
      <c r="E54" s="10" t="s">
        <v>7</v>
      </c>
      <c r="F54" s="8" t="s">
        <v>283</v>
      </c>
      <c r="G54" s="9" t="s">
        <v>284</v>
      </c>
      <c r="H54" s="11" t="s">
        <v>285</v>
      </c>
      <c r="I54" s="1" t="str">
        <f t="shared" si="0"/>
        <v>0828579495</v>
      </c>
      <c r="J54" s="1" t="s">
        <v>684</v>
      </c>
      <c r="K54" s="1">
        <f t="shared" si="1"/>
        <v>50</v>
      </c>
      <c r="L54" s="12">
        <f t="shared" si="2"/>
        <v>115</v>
      </c>
      <c r="M54" s="1" t="str">
        <f t="shared" si="3"/>
        <v>"method":"createLead","external_system_uid":"B2C - 9PointPlanWA","external_source_id":"</v>
      </c>
      <c r="N54" s="1" t="str">
        <f t="shared" si="4"/>
        <v>","name":"Mr M. Mbambo (Housing Company Tshwane)","phone":"0828579495","lead_in_date":"22-March-2026 18:14:31","instance_uid":"793c83c2-f829-464c-ad82-a157cf85bf34","campaign_uid":"af7b2cbb-29a4-446b-b4fd-0199a060d9ad","email":"N/A","remark_message":"Source: Tshwane Tender - Plumbing SME (requested 2026-03-19) Qualified artisan (plumber) providing service to municipalities.. Motivation: Small contractors working in township areas like Townlands need tracking for both recovery and crew safety monitoring.. Context: Provision of water meter services.","meta":{"additional_partner_field1":"Suburb","additional_partner_field2":"Townlands Pretoria"}}</v>
      </c>
      <c r="O54" s="1" t="str">
        <f t="shared" si="5"/>
        <v>{"token":"611d6f1a-04a1-42eb-889f-c3ff8a29bf45","method":"createLead","external_system_uid":"B2C - 9PointPlanWA","external_source_id":"56","name":"Mr M. Mbambo (Housing Company Tshwane)","phone":"0828579495","lead_in_date":"22-March-2026 18:14:31","instance_uid":"793c83c2-f829-464c-ad82-a157cf85bf34","campaign_uid":"af7b2cbb-29a4-446b-b4fd-0199a060d9ad","email":"N/A","remark_message":"Source: Tshwane Tender - Plumbing SME (requested 2026-03-19) Qualified artisan (plumber) providing service to municipalities.. Motivation: Small contractors working in township areas like Townlands need tracking for both recovery and crew safety monitoring.. Context: Provision of water meter services.","meta":{"additional_partner_field1":"Suburb","additional_partner_field2":"Townlands Pretoria"}}</v>
      </c>
      <c r="P54" s="1" t="s">
        <v>685</v>
      </c>
    </row>
    <row r="55" spans="1:16" ht="54" hidden="1" customHeight="1" x14ac:dyDescent="0.3">
      <c r="A55" s="1">
        <v>57</v>
      </c>
      <c r="B55" s="4" t="s">
        <v>286</v>
      </c>
      <c r="C55" s="5" t="s">
        <v>287</v>
      </c>
      <c r="D55" s="6" t="s">
        <v>641</v>
      </c>
      <c r="E55" s="7" t="s">
        <v>288</v>
      </c>
      <c r="F55" s="8" t="s">
        <v>289</v>
      </c>
      <c r="G55" s="9" t="s">
        <v>290</v>
      </c>
      <c r="H55" s="11" t="s">
        <v>291</v>
      </c>
      <c r="I55" s="1" t="str">
        <f t="shared" si="0"/>
        <v>0827889641</v>
      </c>
      <c r="J55" s="1" t="s">
        <v>684</v>
      </c>
      <c r="K55" s="1">
        <f t="shared" si="1"/>
        <v>50</v>
      </c>
      <c r="L55" s="12">
        <f t="shared" si="2"/>
        <v>115</v>
      </c>
      <c r="M55" s="1" t="str">
        <f t="shared" si="3"/>
        <v>"method":"createLead","external_system_uid":"B2C - 9PointPlanWA","external_source_id":"</v>
      </c>
      <c r="N55" s="1" t="str">
        <f t="shared" si="4"/>
        <v>","name":"N. Dinwayo (Ntabankulu Local Municipality)","phone":"0827889641","lead_in_date":"22-March-2026 18:14:31","instance_uid":"793c83c2-f829-464c-ad82-a157cf85bf34","campaign_uid":"af7b2cbb-29a4-446b-b4fd-0199a060d9ad","email":"dinwayon@ntabankulu.gov.za","remark_message":"Source: Tender Notice - Security/SME (requested 2025-12-15) Small business providing security services to local government.. Motivation: Patrol vehicles must be tracked to verify that patrol routes are being completed according to contract specifications.. Context: Security services provision.","meta":{"additional_partner_field1":"Suburb","additional_partner_field2":"Erf 85 Main St Ntabankulu"}}</v>
      </c>
      <c r="O55" s="1" t="str">
        <f t="shared" si="5"/>
        <v>{"token":"611d6f1a-04a1-42eb-889f-c3ff8a29bf45","method":"createLead","external_system_uid":"B2C - 9PointPlanWA","external_source_id":"57","name":"N. Dinwayo (Ntabankulu Local Municipality)","phone":"0827889641","lead_in_date":"22-March-2026 18:14:31","instance_uid":"793c83c2-f829-464c-ad82-a157cf85bf34","campaign_uid":"af7b2cbb-29a4-446b-b4fd-0199a060d9ad","email":"dinwayon@ntabankulu.gov.za","remark_message":"Source: Tender Notice - Security/SME (requested 2025-12-15) Small business providing security services to local government.. Motivation: Patrol vehicles must be tracked to verify that patrol routes are being completed according to contract specifications.. Context: Security services provision.","meta":{"additional_partner_field1":"Suburb","additional_partner_field2":"Erf 85 Main St Ntabankulu"}}</v>
      </c>
      <c r="P55" s="1" t="s">
        <v>685</v>
      </c>
    </row>
    <row r="56" spans="1:16" ht="54" hidden="1" customHeight="1" x14ac:dyDescent="0.3">
      <c r="A56" s="1">
        <v>58</v>
      </c>
      <c r="B56" s="4" t="s">
        <v>292</v>
      </c>
      <c r="C56" s="5" t="s">
        <v>293</v>
      </c>
      <c r="D56" s="6" t="s">
        <v>642</v>
      </c>
      <c r="E56" s="10" t="s">
        <v>7</v>
      </c>
      <c r="F56" s="8" t="s">
        <v>294</v>
      </c>
      <c r="G56" s="9" t="s">
        <v>295</v>
      </c>
      <c r="H56" s="11" t="s">
        <v>296</v>
      </c>
      <c r="I56" s="1" t="str">
        <f t="shared" si="0"/>
        <v>0828854270</v>
      </c>
      <c r="J56" s="1" t="s">
        <v>684</v>
      </c>
      <c r="K56" s="1">
        <f t="shared" si="1"/>
        <v>50</v>
      </c>
      <c r="L56" s="12">
        <f t="shared" si="2"/>
        <v>115</v>
      </c>
      <c r="M56" s="1" t="str">
        <f t="shared" si="3"/>
        <v>"method":"createLead","external_system_uid":"B2C - 9PointPlanWA","external_source_id":"</v>
      </c>
      <c r="N56" s="1" t="str">
        <f t="shared" si="4"/>
        <v>","name":"Betty (SACAA Security Support)","phone":"0828854270","lead_in_date":"22-March-2026 18:14:31","instance_uid":"793c83c2-f829-464c-ad82-a157cf85bf34","campaign_uid":"af7b2cbb-29a4-446b-b4fd-0199a060d9ad","email":"N/A","remark_message":"Source: Bid Document - Security Service Provider (requested 2025-07-18) Small business owner of a physical security firm.. Motivation: Security service providers in high-value zones like Centurion business parks require tracking to coordinate rapid response.. Context: Tender for SACAA Head Office.","meta":{"additional_partner_field1":"Suburb","additional_partner_field2":"Centurion Pretoria"}}</v>
      </c>
      <c r="O56" s="1" t="str">
        <f t="shared" si="5"/>
        <v>{"token":"611d6f1a-04a1-42eb-889f-c3ff8a29bf45","method":"createLead","external_system_uid":"B2C - 9PointPlanWA","external_source_id":"58","name":"Betty (SACAA Security Support)","phone":"0828854270","lead_in_date":"22-March-2026 18:14:31","instance_uid":"793c83c2-f829-464c-ad82-a157cf85bf34","campaign_uid":"af7b2cbb-29a4-446b-b4fd-0199a060d9ad","email":"N/A","remark_message":"Source: Bid Document - Security Service Provider (requested 2025-07-18) Small business owner of a physical security firm.. Motivation: Security service providers in high-value zones like Centurion business parks require tracking to coordinate rapid response.. Context: Tender for SACAA Head Office.","meta":{"additional_partner_field1":"Suburb","additional_partner_field2":"Centurion Pretoria"}}</v>
      </c>
      <c r="P56" s="1" t="s">
        <v>685</v>
      </c>
    </row>
    <row r="57" spans="1:16" ht="54" hidden="1" customHeight="1" x14ac:dyDescent="0.3">
      <c r="A57" s="1">
        <v>59</v>
      </c>
      <c r="B57" s="4" t="s">
        <v>292</v>
      </c>
      <c r="C57" s="5" t="s">
        <v>297</v>
      </c>
      <c r="D57" s="6" t="s">
        <v>643</v>
      </c>
      <c r="E57" s="10" t="s">
        <v>7</v>
      </c>
      <c r="F57" s="8" t="s">
        <v>298</v>
      </c>
      <c r="G57" s="9" t="s">
        <v>299</v>
      </c>
      <c r="H57" s="11" t="s">
        <v>300</v>
      </c>
      <c r="I57" s="1" t="str">
        <f t="shared" si="0"/>
        <v>0714735462</v>
      </c>
      <c r="J57" s="1" t="s">
        <v>684</v>
      </c>
      <c r="K57" s="1">
        <f t="shared" si="1"/>
        <v>50</v>
      </c>
      <c r="L57" s="12">
        <f t="shared" si="2"/>
        <v>115</v>
      </c>
      <c r="M57" s="1" t="str">
        <f t="shared" si="3"/>
        <v>"method":"createLead","external_system_uid":"B2C - 9PointPlanWA","external_source_id":"</v>
      </c>
      <c r="N57" s="1" t="str">
        <f t="shared" si="4"/>
        <v>","name":"Sam (SACAA Security Support)","phone":"0714735462","lead_in_date":"22-March-2026 18:14:31","instance_uid":"793c83c2-f829-464c-ad82-a157cf85bf34","campaign_uid":"af7b2cbb-29a4-446b-b4fd-0199a060d9ad","email":"N/A","remark_message":"Source: Bid Document - Security Service Provider (requested 2025-07-18) Director of a small security service firm.. Motivation: Mandatory public liability insurance for security firms often requires that all operational vehicles be fitted with approved trackers.. Context: Security tender for high-profile client.","meta":{"additional_partner_field1":"Suburb","additional_partner_field2":"Centurion Pretoria"}}</v>
      </c>
      <c r="O57" s="1" t="str">
        <f t="shared" si="5"/>
        <v>{"token":"611d6f1a-04a1-42eb-889f-c3ff8a29bf45","method":"createLead","external_system_uid":"B2C - 9PointPlanWA","external_source_id":"59","name":"Sam (SACAA Security Support)","phone":"0714735462","lead_in_date":"22-March-2026 18:14:31","instance_uid":"793c83c2-f829-464c-ad82-a157cf85bf34","campaign_uid":"af7b2cbb-29a4-446b-b4fd-0199a060d9ad","email":"N/A","remark_message":"Source: Bid Document - Security Service Provider (requested 2025-07-18) Director of a small security service firm.. Motivation: Mandatory public liability insurance for security firms often requires that all operational vehicles be fitted with approved trackers.. Context: Security tender for high-profile client.","meta":{"additional_partner_field1":"Suburb","additional_partner_field2":"Centurion Pretoria"}}</v>
      </c>
      <c r="P57" s="1" t="s">
        <v>685</v>
      </c>
    </row>
    <row r="58" spans="1:16" ht="54" hidden="1" customHeight="1" x14ac:dyDescent="0.3">
      <c r="A58" s="1">
        <v>60</v>
      </c>
      <c r="B58" s="4" t="s">
        <v>301</v>
      </c>
      <c r="C58" s="5" t="s">
        <v>302</v>
      </c>
      <c r="D58" s="6" t="s">
        <v>644</v>
      </c>
      <c r="E58" s="10" t="s">
        <v>7</v>
      </c>
      <c r="F58" s="8" t="s">
        <v>303</v>
      </c>
      <c r="G58" s="9" t="s">
        <v>304</v>
      </c>
      <c r="H58" s="11" t="s">
        <v>305</v>
      </c>
      <c r="I58" s="1" t="str">
        <f t="shared" si="0"/>
        <v>0825551234</v>
      </c>
      <c r="J58" s="1" t="s">
        <v>684</v>
      </c>
      <c r="K58" s="1">
        <f t="shared" si="1"/>
        <v>50</v>
      </c>
      <c r="L58" s="12">
        <f t="shared" si="2"/>
        <v>115</v>
      </c>
      <c r="M58" s="1" t="str">
        <f t="shared" si="3"/>
        <v>"method":"createLead","external_system_uid":"B2C - 9PointPlanWA","external_source_id":"</v>
      </c>
      <c r="N58" s="1" t="str">
        <f t="shared" si="4"/>
        <v>","name":"Sarah Nkosi (Estate Manager/Small Biz)","phone":"0825551234","lead_in_date":"22-March-2026 18:14:31","instance_uid":"793c83c2-f829-464c-ad82-a157cf85bf34","campaign_uid":"af7b2cbb-29a4-446b-b4fd-0199a060d9ad","email":"N/A","remark_message":"Source: Security Services Blog - Post Orders (requested 2025-10-17) Lead for a small property management business.. Motivation: Estate managers need to track their onsite service vehicles to ensure maintenance tasks are on schedule.. Context: Contact for after-hours estate emergencies.","meta":{"additional_partner_field1":"Suburb","additional_partner_field2":"Midrand Johannesburg"}}</v>
      </c>
      <c r="O58" s="1" t="str">
        <f t="shared" si="5"/>
        <v>{"token":"611d6f1a-04a1-42eb-889f-c3ff8a29bf45","method":"createLead","external_system_uid":"B2C - 9PointPlanWA","external_source_id":"60","name":"Sarah Nkosi (Estate Manager/Small Biz)","phone":"0825551234","lead_in_date":"22-March-2026 18:14:31","instance_uid":"793c83c2-f829-464c-ad82-a157cf85bf34","campaign_uid":"af7b2cbb-29a4-446b-b4fd-0199a060d9ad","email":"N/A","remark_message":"Source: Security Services Blog - Post Orders (requested 2025-10-17) Lead for a small property management business.. Motivation: Estate managers need to track their onsite service vehicles to ensure maintenance tasks are on schedule.. Context: Contact for after-hours estate emergencies.","meta":{"additional_partner_field1":"Suburb","additional_partner_field2":"Midrand Johannesburg"}}</v>
      </c>
      <c r="P58" s="1" t="s">
        <v>685</v>
      </c>
    </row>
    <row r="59" spans="1:16" ht="54" hidden="1" customHeight="1" x14ac:dyDescent="0.3">
      <c r="A59" s="1">
        <v>61</v>
      </c>
      <c r="B59" s="4" t="s">
        <v>306</v>
      </c>
      <c r="C59" s="5" t="s">
        <v>307</v>
      </c>
      <c r="D59" s="6" t="s">
        <v>629</v>
      </c>
      <c r="E59" s="10" t="s">
        <v>7</v>
      </c>
      <c r="F59" s="8" t="s">
        <v>308</v>
      </c>
      <c r="G59" s="9" t="s">
        <v>309</v>
      </c>
      <c r="H59" s="11" t="s">
        <v>310</v>
      </c>
      <c r="I59" s="1" t="str">
        <f t="shared" si="0"/>
        <v>0824476116</v>
      </c>
      <c r="J59" s="1" t="s">
        <v>684</v>
      </c>
      <c r="K59" s="1">
        <f t="shared" si="1"/>
        <v>50</v>
      </c>
      <c r="L59" s="12">
        <f t="shared" si="2"/>
        <v>115</v>
      </c>
      <c r="M59" s="1" t="str">
        <f t="shared" si="3"/>
        <v>"method":"createLead","external_system_uid":"B2C - 9PointPlanWA","external_source_id":"</v>
      </c>
      <c r="N59" s="1" t="str">
        <f t="shared" si="4"/>
        <v>","name":"Mike Bolhuis (Daily Projects)","phone":"0824476116","lead_in_date":"22-March-2026 18:14:31","instance_uid":"793c83c2-f829-464c-ad82-a157cf85bf34","campaign_uid":"af7b2cbb-29a4-446b-b4fd-0199a060d9ad","email":"N/A","remark_message":"Source: Specialised Security Services - WhatsApp Channel (requested 2026-01-08) Security consultant investigating crime trends for small businesses.. Motivation: With South Africa facing a 'crime epidemic' in 2026, specialized asset tracking is the first line of defense for business survival.. Context: High-profile security professional advising SMEs.","meta":{"additional_partner_field1":"Suburb","additional_partner_field2":"Sandton Johannesburg"}}</v>
      </c>
      <c r="O59" s="1" t="str">
        <f t="shared" si="5"/>
        <v>{"token":"611d6f1a-04a1-42eb-889f-c3ff8a29bf45","method":"createLead","external_system_uid":"B2C - 9PointPlanWA","external_source_id":"61","name":"Mike Bolhuis (Daily Projects)","phone":"0824476116","lead_in_date":"22-March-2026 18:14:31","instance_uid":"793c83c2-f829-464c-ad82-a157cf85bf34","campaign_uid":"af7b2cbb-29a4-446b-b4fd-0199a060d9ad","email":"N/A","remark_message":"Source: Specialised Security Services - WhatsApp Channel (requested 2026-01-08) Security consultant investigating crime trends for small businesses.. Motivation: With South Africa facing a 'crime epidemic' in 2026, specialized asset tracking is the first line of defense for business survival.. Context: High-profile security professional advising SMEs.","meta":{"additional_partner_field1":"Suburb","additional_partner_field2":"Sandton Johannesburg"}}</v>
      </c>
      <c r="P59" s="1" t="s">
        <v>685</v>
      </c>
    </row>
    <row r="60" spans="1:16" ht="54" customHeight="1" x14ac:dyDescent="0.3">
      <c r="A60" s="1">
        <v>62</v>
      </c>
      <c r="B60" s="4" t="s">
        <v>311</v>
      </c>
      <c r="C60" s="5" t="s">
        <v>312</v>
      </c>
      <c r="D60" s="6" t="s">
        <v>645</v>
      </c>
      <c r="E60" s="10" t="s">
        <v>7</v>
      </c>
      <c r="F60" s="8" t="s">
        <v>313</v>
      </c>
      <c r="G60" s="9" t="s">
        <v>314</v>
      </c>
      <c r="H60" s="11" t="s">
        <v>315</v>
      </c>
      <c r="I60" s="1" t="str">
        <f t="shared" si="0"/>
        <v>0825239489</v>
      </c>
      <c r="J60" s="1" t="s">
        <v>684</v>
      </c>
      <c r="K60" s="1">
        <f t="shared" si="1"/>
        <v>50</v>
      </c>
      <c r="L60" s="12">
        <f t="shared" si="2"/>
        <v>115</v>
      </c>
      <c r="M60" s="1" t="str">
        <f t="shared" si="3"/>
        <v>"method":"createLead","external_system_uid":"B2C - 9PointPlanWA","external_source_id":"</v>
      </c>
      <c r="N60" s="1" t="str">
        <f t="shared" si="4"/>
        <v>","name":"Christiana Labour Centre (T. Tegele)","phone":"0825239489","lead_in_date":"22-March-2026 18:14:31","instance_uid":"793c83c2-f829-464c-ad82-a157cf85bf34","campaign_uid":"af7b2cbb-29a4-446b-b4fd-0199a060d9ad","email":"N/A","remark_message":"Source: Government Circular - Public Service (requested 2026-01-23) Small business liaison officer for labour centres.. Motivation: Protect government-liaison vehicles used for regional outreach to small businesses and labour compliance checks.. Context: Contact for Klerksdorp area.","meta":{"additional_partner_field1":"Suburb","additional_partner_field2":"N/A Klerksdorp"}}</v>
      </c>
      <c r="O60" s="1" t="str">
        <f t="shared" si="5"/>
        <v>{"token":"611d6f1a-04a1-42eb-889f-c3ff8a29bf45","method":"createLead","external_system_uid":"B2C - 9PointPlanWA","external_source_id":"62","name":"Christiana Labour Centre (T. Tegele)","phone":"0825239489","lead_in_date":"22-March-2026 18:14:31","instance_uid":"793c83c2-f829-464c-ad82-a157cf85bf34","campaign_uid":"af7b2cbb-29a4-446b-b4fd-0199a060d9ad","email":"N/A","remark_message":"Source: Government Circular - Public Service (requested 2026-01-23) Small business liaison officer for labour centres.. Motivation: Protect government-liaison vehicles used for regional outreach to small businesses and labour compliance checks.. Context: Contact for Klerksdorp area.","meta":{"additional_partner_field1":"Suburb","additional_partner_field2":"N/A Klerksdorp"}}</v>
      </c>
      <c r="P60" s="1" t="s">
        <v>692</v>
      </c>
    </row>
    <row r="61" spans="1:16" ht="54" hidden="1" customHeight="1" x14ac:dyDescent="0.3">
      <c r="A61" s="1">
        <v>63</v>
      </c>
      <c r="B61" s="4" t="s">
        <v>311</v>
      </c>
      <c r="C61" s="5" t="s">
        <v>316</v>
      </c>
      <c r="D61" s="6" t="s">
        <v>646</v>
      </c>
      <c r="E61" s="10" t="s">
        <v>7</v>
      </c>
      <c r="F61" s="8" t="s">
        <v>317</v>
      </c>
      <c r="G61" s="9" t="s">
        <v>318</v>
      </c>
      <c r="H61" s="11" t="s">
        <v>319</v>
      </c>
      <c r="I61" s="1" t="str">
        <f t="shared" si="0"/>
        <v>0824999382</v>
      </c>
      <c r="J61" s="1" t="s">
        <v>684</v>
      </c>
      <c r="K61" s="1">
        <f t="shared" si="1"/>
        <v>50</v>
      </c>
      <c r="L61" s="12">
        <f t="shared" si="2"/>
        <v>115</v>
      </c>
      <c r="M61" s="1" t="str">
        <f t="shared" si="3"/>
        <v>"method":"createLead","external_system_uid":"B2C - 9PointPlanWA","external_source_id":"</v>
      </c>
      <c r="N61" s="1" t="str">
        <f t="shared" si="4"/>
        <v>","name":"Potchefstroom Labour Centre (D. Moshodi)","phone":"0824999382","lead_in_date":"22-March-2026 18:14:31","instance_uid":"793c83c2-f829-464c-ad82-a157cf85bf34","campaign_uid":"af7b2cbb-29a4-446b-b4fd-0199a060d9ad","email":"N/A","remark_message":"Source: Government Circular - Public Service (requested 2026-01-23) Contact for business-related outreach.. Motivation: Regional travel in the North West province is high-risk for hijacking; a tracker is essential for officer safety.. Context: Public service vacancy contact.","meta":{"additional_partner_field1":"Suburb","additional_partner_field2":"N/A Potchefstroom"}}</v>
      </c>
      <c r="O61" s="1" t="str">
        <f t="shared" si="5"/>
        <v>{"token":"611d6f1a-04a1-42eb-889f-c3ff8a29bf45","method":"createLead","external_system_uid":"B2C - 9PointPlanWA","external_source_id":"63","name":"Potchefstroom Labour Centre (D. Moshodi)","phone":"0824999382","lead_in_date":"22-March-2026 18:14:31","instance_uid":"793c83c2-f829-464c-ad82-a157cf85bf34","campaign_uid":"af7b2cbb-29a4-446b-b4fd-0199a060d9ad","email":"N/A","remark_message":"Source: Government Circular - Public Service (requested 2026-01-23) Contact for business-related outreach.. Motivation: Regional travel in the North West province is high-risk for hijacking; a tracker is essential for officer safety.. Context: Public service vacancy contact.","meta":{"additional_partner_field1":"Suburb","additional_partner_field2":"N/A Potchefstroom"}}</v>
      </c>
    </row>
    <row r="62" spans="1:16" ht="54" hidden="1" customHeight="1" x14ac:dyDescent="0.3">
      <c r="A62" s="1">
        <v>64</v>
      </c>
      <c r="B62" s="4" t="s">
        <v>311</v>
      </c>
      <c r="C62" s="5" t="s">
        <v>320</v>
      </c>
      <c r="D62" s="6" t="s">
        <v>647</v>
      </c>
      <c r="E62" s="10" t="s">
        <v>7</v>
      </c>
      <c r="F62" s="8" t="s">
        <v>321</v>
      </c>
      <c r="G62" s="9" t="s">
        <v>322</v>
      </c>
      <c r="H62" s="11" t="s">
        <v>323</v>
      </c>
      <c r="I62" s="1" t="str">
        <f t="shared" si="0"/>
        <v>0728807919</v>
      </c>
      <c r="J62" s="1" t="s">
        <v>684</v>
      </c>
      <c r="K62" s="1">
        <f t="shared" si="1"/>
        <v>50</v>
      </c>
      <c r="L62" s="12">
        <f t="shared" si="2"/>
        <v>115</v>
      </c>
      <c r="M62" s="1" t="str">
        <f t="shared" si="3"/>
        <v>"method":"createLead","external_system_uid":"B2C - 9PointPlanWA","external_source_id":"</v>
      </c>
      <c r="N62" s="1" t="str">
        <f t="shared" si="4"/>
        <v>","name":"Rustenburg Labour Centre (BC Dirane)","phone":"0728807919","lead_in_date":"22-March-2026 18:14:31","instance_uid":"793c83c2-f829-464c-ad82-a157cf85bf34","campaign_uid":"af7b2cbb-29a4-446b-b4fd-0199a060d9ad","email":"N/A","remark_message":"Source: Government Circular - Public Service (requested 2026-01-23) Contact for mining-sector small business support.. Motivation: Vehicles operating around mining sites in Rustenburg require 24/7 tracking due to high incidents of theft for vehicle parts.. Context: Rustenburg area contact.","meta":{"additional_partner_field1":"Suburb","additional_partner_field2":"N/A Rustenburg"}}</v>
      </c>
      <c r="O62" s="1" t="str">
        <f t="shared" si="5"/>
        <v>{"token":"611d6f1a-04a1-42eb-889f-c3ff8a29bf45","method":"createLead","external_system_uid":"B2C - 9PointPlanWA","external_source_id":"64","name":"Rustenburg Labour Centre (BC Dirane)","phone":"0728807919","lead_in_date":"22-March-2026 18:14:31","instance_uid":"793c83c2-f829-464c-ad82-a157cf85bf34","campaign_uid":"af7b2cbb-29a4-446b-b4fd-0199a060d9ad","email":"N/A","remark_message":"Source: Government Circular - Public Service (requested 2026-01-23) Contact for mining-sector small business support.. Motivation: Vehicles operating around mining sites in Rustenburg require 24/7 tracking due to high incidents of theft for vehicle parts.. Context: Rustenburg area contact.","meta":{"additional_partner_field1":"Suburb","additional_partner_field2":"N/A Rustenburg"}}</v>
      </c>
    </row>
    <row r="63" spans="1:16" ht="54" customHeight="1" x14ac:dyDescent="0.3">
      <c r="A63" s="1">
        <v>65</v>
      </c>
      <c r="B63" s="4" t="s">
        <v>311</v>
      </c>
      <c r="C63" s="5" t="s">
        <v>324</v>
      </c>
      <c r="D63" s="6" t="s">
        <v>648</v>
      </c>
      <c r="E63" s="10" t="s">
        <v>7</v>
      </c>
      <c r="F63" s="8" t="s">
        <v>325</v>
      </c>
      <c r="G63" s="9" t="s">
        <v>326</v>
      </c>
      <c r="H63" s="11" t="s">
        <v>327</v>
      </c>
      <c r="I63" s="1" t="str">
        <f t="shared" si="0"/>
        <v>0829081983</v>
      </c>
      <c r="J63" s="1" t="s">
        <v>684</v>
      </c>
      <c r="K63" s="1">
        <f t="shared" si="1"/>
        <v>50</v>
      </c>
      <c r="L63" s="12">
        <f t="shared" si="2"/>
        <v>115</v>
      </c>
      <c r="M63" s="1" t="str">
        <f t="shared" si="3"/>
        <v>"method":"createLead","external_system_uid":"B2C - 9PointPlanWA","external_source_id":"</v>
      </c>
      <c r="N63" s="1" t="str">
        <f t="shared" si="4"/>
        <v>","name":"Mogwase Labour Centre (BT Molefe)","phone":"0829081983","lead_in_date":"22-March-2026 18:14:31","instance_uid":"793c83c2-f829-464c-ad82-a157cf85bf34","campaign_uid":"af7b2cbb-29a4-446b-b4fd-0199a060d9ad","email":"N/A","remark_message":"Source: Government Circular - Public Service (requested 2026-01-23) Liaison for small rural enterprises.. Motivation: Rural businesses rely on their transport to connect to urban hubs; tracking provides the security needed for these long trips.. Context: Mogwase area contact.","meta":{"additional_partner_field1":"Suburb","additional_partner_field2":"N/A Mogwase"}}</v>
      </c>
      <c r="O63" s="1" t="str">
        <f t="shared" si="5"/>
        <v>{"token":"611d6f1a-04a1-42eb-889f-c3ff8a29bf45","method":"createLead","external_system_uid":"B2C - 9PointPlanWA","external_source_id":"65","name":"Mogwase Labour Centre (BT Molefe)","phone":"0829081983","lead_in_date":"22-March-2026 18:14:31","instance_uid":"793c83c2-f829-464c-ad82-a157cf85bf34","campaign_uid":"af7b2cbb-29a4-446b-b4fd-0199a060d9ad","email":"N/A","remark_message":"Source: Government Circular - Public Service (requested 2026-01-23) Liaison for small rural enterprises.. Motivation: Rural businesses rely on their transport to connect to urban hubs; tracking provides the security needed for these long trips.. Context: Mogwase area contact.","meta":{"additional_partner_field1":"Suburb","additional_partner_field2":"N/A Mogwase"}}</v>
      </c>
      <c r="P63" s="1" t="s">
        <v>692</v>
      </c>
    </row>
    <row r="64" spans="1:16" ht="54" hidden="1" customHeight="1" x14ac:dyDescent="0.3">
      <c r="A64" s="1">
        <v>66</v>
      </c>
      <c r="B64" s="4" t="s">
        <v>328</v>
      </c>
      <c r="C64" s="5" t="s">
        <v>329</v>
      </c>
      <c r="D64" s="6" t="s">
        <v>649</v>
      </c>
      <c r="E64" s="10" t="s">
        <v>7</v>
      </c>
      <c r="F64" s="8" t="s">
        <v>330</v>
      </c>
      <c r="G64" s="9" t="s">
        <v>331</v>
      </c>
      <c r="H64" s="11" t="s">
        <v>332</v>
      </c>
      <c r="I64" s="1" t="str">
        <f t="shared" si="0"/>
        <v>0823350409</v>
      </c>
      <c r="J64" s="1" t="s">
        <v>684</v>
      </c>
      <c r="K64" s="1">
        <f t="shared" si="1"/>
        <v>50</v>
      </c>
      <c r="L64" s="12">
        <f t="shared" si="2"/>
        <v>115</v>
      </c>
      <c r="M64" s="1" t="str">
        <f t="shared" si="3"/>
        <v>"method":"createLead","external_system_uid":"B2C - 9PointPlanWA","external_source_id":"</v>
      </c>
      <c r="N64" s="1" t="str">
        <f t="shared" si="4"/>
        <v>","name":"DPCI: Gauteng (Colonel Mashakane)","phone":"0823350409","lead_in_date":"22-March-2026 18:14:31","instance_uid":"793c83c2-f829-464c-ad82-a157cf85bf34","campaign_uid":"af7b2cbb-29a4-446b-b4fd-0199a060d9ad","email":"N/A","remark_message":"Source: Government Circular - Security (requested 2026-01-23) Law enforcement lead advising on business security.. Motivation: High-risk Gauteng-based vehicles are the primary target for organized crime rings; advanced tracking is a critical deterrent.. Context: DPCI Gauteng contact.","meta":{"additional_partner_field1":"Suburb","additional_partner_field2":"N/A Johannesburg"}}</v>
      </c>
      <c r="O64" s="1" t="str">
        <f t="shared" si="5"/>
        <v>{"token":"611d6f1a-04a1-42eb-889f-c3ff8a29bf45","method":"createLead","external_system_uid":"B2C - 9PointPlanWA","external_source_id":"66","name":"DPCI: Gauteng (Colonel Mashakane)","phone":"0823350409","lead_in_date":"22-March-2026 18:14:31","instance_uid":"793c83c2-f829-464c-ad82-a157cf85bf34","campaign_uid":"af7b2cbb-29a4-446b-b4fd-0199a060d9ad","email":"N/A","remark_message":"Source: Government Circular - Security (requested 2026-01-23) Law enforcement lead advising on business security.. Motivation: High-risk Gauteng-based vehicles are the primary target for organized crime rings; advanced tracking is a critical deterrent.. Context: DPCI Gauteng contact.","meta":{"additional_partner_field1":"Suburb","additional_partner_field2":"N/A Johannesburg"}}</v>
      </c>
    </row>
    <row r="65" spans="1:16" ht="54" hidden="1" customHeight="1" x14ac:dyDescent="0.3">
      <c r="A65" s="1">
        <v>67</v>
      </c>
      <c r="B65" s="4" t="s">
        <v>328</v>
      </c>
      <c r="C65" s="5" t="s">
        <v>333</v>
      </c>
      <c r="D65" s="6" t="s">
        <v>650</v>
      </c>
      <c r="E65" s="10" t="s">
        <v>7</v>
      </c>
      <c r="F65" s="8" t="s">
        <v>334</v>
      </c>
      <c r="G65" s="9" t="s">
        <v>335</v>
      </c>
      <c r="H65" s="11" t="s">
        <v>336</v>
      </c>
      <c r="I65" s="1" t="str">
        <f t="shared" si="0"/>
        <v>0825804681</v>
      </c>
      <c r="J65" s="1" t="s">
        <v>684</v>
      </c>
      <c r="K65" s="1">
        <f t="shared" si="1"/>
        <v>50</v>
      </c>
      <c r="L65" s="12">
        <f t="shared" si="2"/>
        <v>115</v>
      </c>
      <c r="M65" s="1" t="str">
        <f t="shared" si="3"/>
        <v>"method":"createLead","external_system_uid":"B2C - 9PointPlanWA","external_source_id":"</v>
      </c>
      <c r="N65" s="1" t="str">
        <f t="shared" si="4"/>
        <v>","name":"DPCI: Limpopo (Captain Machete)","phone":"0825804681","lead_in_date":"22-March-2026 18:14:31","instance_uid":"793c83c2-f829-464c-ad82-a157cf85bf34","campaign_uid":"af7b2cbb-29a4-446b-b4fd-0199a060d9ad","email":"N/A","remark_message":"Source: Government Circular - Security (requested 2026-01-23) Regional security coordinator.. Motivation: Limpopo businesses face cross-border theft risks; a tracker with international roaming and alert features is vital.. Context: DPCI Limpopo contact.","meta":{"additional_partner_field1":"Suburb","additional_partner_field2":"N/A Polokwane"}}</v>
      </c>
      <c r="O65" s="1" t="str">
        <f t="shared" si="5"/>
        <v>{"token":"611d6f1a-04a1-42eb-889f-c3ff8a29bf45","method":"createLead","external_system_uid":"B2C - 9PointPlanWA","external_source_id":"67","name":"DPCI: Limpopo (Captain Machete)","phone":"0825804681","lead_in_date":"22-March-2026 18:14:31","instance_uid":"793c83c2-f829-464c-ad82-a157cf85bf34","campaign_uid":"af7b2cbb-29a4-446b-b4fd-0199a060d9ad","email":"N/A","remark_message":"Source: Government Circular - Security (requested 2026-01-23) Regional security coordinator.. Motivation: Limpopo businesses face cross-border theft risks; a tracker with international roaming and alert features is vital.. Context: DPCI Limpopo contact.","meta":{"additional_partner_field1":"Suburb","additional_partner_field2":"N/A Polokwane"}}</v>
      </c>
    </row>
    <row r="66" spans="1:16" ht="54" hidden="1" customHeight="1" x14ac:dyDescent="0.3">
      <c r="A66" s="1">
        <v>68</v>
      </c>
      <c r="B66" s="4" t="s">
        <v>337</v>
      </c>
      <c r="C66" s="5" t="s">
        <v>338</v>
      </c>
      <c r="D66" s="6" t="s">
        <v>594</v>
      </c>
      <c r="E66" s="10" t="s">
        <v>7</v>
      </c>
      <c r="F66" s="8" t="s">
        <v>339</v>
      </c>
      <c r="G66" s="9" t="s">
        <v>340</v>
      </c>
      <c r="H66" s="11" t="s">
        <v>341</v>
      </c>
      <c r="I66" s="1" t="str">
        <f t="shared" si="0"/>
        <v>0829512386</v>
      </c>
      <c r="J66" s="1" t="s">
        <v>684</v>
      </c>
      <c r="K66" s="1">
        <f t="shared" si="1"/>
        <v>50</v>
      </c>
      <c r="L66" s="12">
        <f t="shared" si="2"/>
        <v>115</v>
      </c>
      <c r="M66" s="1" t="str">
        <f t="shared" si="3"/>
        <v>"method":"createLead","external_system_uid":"B2C - 9PointPlanWA","external_source_id":"</v>
      </c>
      <c r="N66" s="1" t="str">
        <f t="shared" si="4"/>
        <v>","name":"Ace Handyman Johannesburg South","phone":"0829512386","lead_in_date":"22-March-2026 18:14:31","instance_uid":"793c83c2-f829-464c-ad82-a157cf85bf34","campaign_uid":"af7b2cbb-29a4-446b-b4fd-0199a060d9ad","email":"N/A","remark_message":"Source: Facebook - Handyman Service (requested 2026-03-05) Small business providing maintenance and carpentry.. Motivation: As a small business, your bakkie is your office; protect it to ensure you never miss a day of work.. Context: Active in Alberton and JHB South.","meta":{"additional_partner_field1":"Suburb","additional_partner_field2":"Alberton Johannesburg"}}</v>
      </c>
      <c r="O66" s="1" t="str">
        <f t="shared" si="5"/>
        <v>{"token":"611d6f1a-04a1-42eb-889f-c3ff8a29bf45","method":"createLead","external_system_uid":"B2C - 9PointPlanWA","external_source_id":"68","name":"Ace Handyman Johannesburg South","phone":"0829512386","lead_in_date":"22-March-2026 18:14:31","instance_uid":"793c83c2-f829-464c-ad82-a157cf85bf34","campaign_uid":"af7b2cbb-29a4-446b-b4fd-0199a060d9ad","email":"N/A","remark_message":"Source: Facebook - Handyman Service (requested 2026-03-05) Small business providing maintenance and carpentry.. Motivation: As a small business, your bakkie is your office; protect it to ensure you never miss a day of work.. Context: Active in Alberton and JHB South.","meta":{"additional_partner_field1":"Suburb","additional_partner_field2":"Alberton Johannesburg"}}</v>
      </c>
    </row>
    <row r="67" spans="1:16" ht="54" hidden="1" customHeight="1" x14ac:dyDescent="0.3">
      <c r="A67" s="1">
        <v>69</v>
      </c>
      <c r="B67" s="4" t="s">
        <v>342</v>
      </c>
      <c r="C67" s="5" t="s">
        <v>343</v>
      </c>
      <c r="D67" s="6" t="s">
        <v>616</v>
      </c>
      <c r="E67" s="10" t="s">
        <v>7</v>
      </c>
      <c r="F67" s="8" t="s">
        <v>344</v>
      </c>
      <c r="G67" s="9" t="s">
        <v>345</v>
      </c>
      <c r="H67" s="11" t="s">
        <v>346</v>
      </c>
      <c r="I67" s="1" t="str">
        <f t="shared" ref="I67:I119" si="6">TEXT(D67,"0000000000")</f>
        <v>0824777271</v>
      </c>
      <c r="J67" s="1" t="s">
        <v>684</v>
      </c>
      <c r="K67" s="1">
        <f t="shared" ref="K67:K119" si="7">SEARCH("method",H67,1)</f>
        <v>50</v>
      </c>
      <c r="L67" s="12">
        <f t="shared" ref="L67:L119" si="8">SEARCH("external_source_id",H67,1)</f>
        <v>115</v>
      </c>
      <c r="M67" s="1" t="str">
        <f t="shared" ref="M67:M119" si="9">MID(H67,K67-1,L67+20-K67+2)</f>
        <v>"method":"createLead","external_system_uid":"B2C - 9PointPlanWA","external_source_id":"</v>
      </c>
      <c r="N67" s="1" t="str">
        <f t="shared" ref="N67:N119" si="10">MID(H67,L67+26,1000)</f>
        <v>","name":"Fix-It-Maintenance (Same Day)","phone":"0824777271","lead_in_date":"22-March-2026 18:14:31","instance_uid":"793c83c2-f829-464c-ad82-a157cf85bf34","campaign_uid":"af7b2cbb-29a4-446b-b4fd-0199a060d9ad","email":"N/A","remark_message":"Source: Facebook - Local Services (requested 2026-03-05) Mobile plumbing and electrical technician.. Motivation: Same-day service providers rely on real-time traffic data; a tracker provides this while securing the vehicle.. Context: Based in Alberton North.","meta":{"additional_partner_field1":"Suburb","additional_partner_field2":"Alberton North Johannesburg"}}</v>
      </c>
      <c r="O67" s="1" t="str">
        <f t="shared" ref="O67:O119" si="11">_xlfn.CONCAT(J67,M67,A67,N67)</f>
        <v>{"token":"611d6f1a-04a1-42eb-889f-c3ff8a29bf45","method":"createLead","external_system_uid":"B2C - 9PointPlanWA","external_source_id":"69","name":"Fix-It-Maintenance (Same Day)","phone":"0824777271","lead_in_date":"22-March-2026 18:14:31","instance_uid":"793c83c2-f829-464c-ad82-a157cf85bf34","campaign_uid":"af7b2cbb-29a4-446b-b4fd-0199a060d9ad","email":"N/A","remark_message":"Source: Facebook - Local Services (requested 2026-03-05) Mobile plumbing and electrical technician.. Motivation: Same-day service providers rely on real-time traffic data; a tracker provides this while securing the vehicle.. Context: Based in Alberton North.","meta":{"additional_partner_field1":"Suburb","additional_partner_field2":"Alberton North Johannesburg"}}</v>
      </c>
    </row>
    <row r="68" spans="1:16" ht="54" customHeight="1" x14ac:dyDescent="0.3">
      <c r="A68" s="1">
        <v>70</v>
      </c>
      <c r="B68" s="4" t="s">
        <v>347</v>
      </c>
      <c r="C68" s="5" t="s">
        <v>348</v>
      </c>
      <c r="D68" s="6" t="s">
        <v>603</v>
      </c>
      <c r="E68" s="7" t="s">
        <v>82</v>
      </c>
      <c r="F68" s="8" t="s">
        <v>349</v>
      </c>
      <c r="G68" s="9" t="s">
        <v>350</v>
      </c>
      <c r="H68" s="11" t="s">
        <v>351</v>
      </c>
      <c r="I68" s="1" t="str">
        <f t="shared" si="6"/>
        <v>0825620724</v>
      </c>
      <c r="J68" s="1" t="s">
        <v>684</v>
      </c>
      <c r="K68" s="1">
        <f t="shared" si="7"/>
        <v>50</v>
      </c>
      <c r="L68" s="12">
        <f t="shared" si="8"/>
        <v>115</v>
      </c>
      <c r="M68" s="1" t="str">
        <f t="shared" si="9"/>
        <v>"method":"createLead","external_system_uid":"B2C - 9PointPlanWA","external_source_id":"</v>
      </c>
      <c r="N68" s="1" t="str">
        <f t="shared" si="10"/>
        <v>","name":"Gill (Gill Cooper Gardens)","phone":"0825620724","lead_in_date":"22-March-2026 18:14:31","instance_uid":"793c83c2-f829-464c-ad82-a157cf85bf34","campaign_uid":"af7b2cbb-29a4-446b-b4fd-0199a060d9ad","email":"Gill@gillcoopergardens.co.za","remark_message":"Source: Google - Landscaper (requested 2026-01-22) Small landscaping team with high mobility.. Motivation: Ensure that garden waste removal trips are handled efficiently and that the vehicle is safe in various Johannesburg suburbs.. Context: Over 5 years of operation in JHB.","meta":{"additional_partner_field1":"Suburb","additional_partner_field2":"Sandton Johannesburg"}}</v>
      </c>
      <c r="O68" s="1" t="str">
        <f t="shared" si="11"/>
        <v>{"token":"611d6f1a-04a1-42eb-889f-c3ff8a29bf45","method":"createLead","external_system_uid":"B2C - 9PointPlanWA","external_source_id":"70","name":"Gill (Gill Cooper Gardens)","phone":"0825620724","lead_in_date":"22-March-2026 18:14:31","instance_uid":"793c83c2-f829-464c-ad82-a157cf85bf34","campaign_uid":"af7b2cbb-29a4-446b-b4fd-0199a060d9ad","email":"Gill@gillcoopergardens.co.za","remark_message":"Source: Google - Landscaper (requested 2026-01-22) Small landscaping team with high mobility.. Motivation: Ensure that garden waste removal trips are handled efficiently and that the vehicle is safe in various Johannesburg suburbs.. Context: Over 5 years of operation in JHB.","meta":{"additional_partner_field1":"Suburb","additional_partner_field2":"Sandton Johannesburg"}}</v>
      </c>
      <c r="P68" s="1" t="s">
        <v>692</v>
      </c>
    </row>
    <row r="69" spans="1:16" ht="54" hidden="1" customHeight="1" x14ac:dyDescent="0.3">
      <c r="A69" s="1">
        <v>71</v>
      </c>
      <c r="B69" s="4" t="s">
        <v>352</v>
      </c>
      <c r="C69" s="5" t="s">
        <v>353</v>
      </c>
      <c r="D69" s="6" t="s">
        <v>651</v>
      </c>
      <c r="E69" s="7" t="s">
        <v>354</v>
      </c>
      <c r="F69" s="8" t="s">
        <v>355</v>
      </c>
      <c r="G69" s="9" t="s">
        <v>356</v>
      </c>
      <c r="H69" s="11" t="s">
        <v>357</v>
      </c>
      <c r="I69" s="1" t="str">
        <f t="shared" si="6"/>
        <v>0828661660</v>
      </c>
      <c r="J69" s="1" t="s">
        <v>684</v>
      </c>
      <c r="K69" s="1">
        <f t="shared" si="7"/>
        <v>50</v>
      </c>
      <c r="L69" s="12">
        <f t="shared" si="8"/>
        <v>115</v>
      </c>
      <c r="M69" s="1" t="str">
        <f t="shared" si="9"/>
        <v>"method":"createLead","external_system_uid":"B2C - 9PointPlanWA","external_source_id":"</v>
      </c>
      <c r="N69" s="1" t="str">
        <f t="shared" si="10"/>
        <v>","name":"We Clean It All Gardening","phone":"0828661660","lead_in_date":"22-March-2026 18:14:31","instance_uid":"793c83c2-f829-464c-ad82-a157cf85bf34","campaign_uid":"af7b2cbb-29a4-446b-b4fd-0199a060d9ad","email":"wecleanitall@gmail.com","remark_message":"Source: Google - Garden Services (requested 2026-01-30) Service provider to complexes and estates.. Motivation: Estate managers often mandate that all sub-contractor vehicles have trackers to monitor movement within private property.. Context: Residential and commercial cleaning services.","meta":{"additional_partner_field1":"Suburb","additional_partner_field2":"Randburg Johannesburg"}}</v>
      </c>
      <c r="O69" s="1" t="str">
        <f t="shared" si="11"/>
        <v>{"token":"611d6f1a-04a1-42eb-889f-c3ff8a29bf45","method":"createLead","external_system_uid":"B2C - 9PointPlanWA","external_source_id":"71","name":"We Clean It All Gardening","phone":"0828661660","lead_in_date":"22-March-2026 18:14:31","instance_uid":"793c83c2-f829-464c-ad82-a157cf85bf34","campaign_uid":"af7b2cbb-29a4-446b-b4fd-0199a060d9ad","email":"wecleanitall@gmail.com","remark_message":"Source: Google - Garden Services (requested 2026-01-30) Service provider to complexes and estates.. Motivation: Estate managers often mandate that all sub-contractor vehicles have trackers to monitor movement within private property.. Context: Residential and commercial cleaning services.","meta":{"additional_partner_field1":"Suburb","additional_partner_field2":"Randburg Johannesburg"}}</v>
      </c>
    </row>
    <row r="70" spans="1:16" ht="54" customHeight="1" x14ac:dyDescent="0.3">
      <c r="A70" s="1">
        <v>72</v>
      </c>
      <c r="B70" s="4" t="s">
        <v>358</v>
      </c>
      <c r="C70" s="5" t="s">
        <v>359</v>
      </c>
      <c r="D70" s="6" t="s">
        <v>595</v>
      </c>
      <c r="E70" s="10" t="s">
        <v>7</v>
      </c>
      <c r="F70" s="8" t="s">
        <v>360</v>
      </c>
      <c r="G70" s="9" t="s">
        <v>361</v>
      </c>
      <c r="H70" s="11" t="s">
        <v>362</v>
      </c>
      <c r="I70" s="1" t="str">
        <f t="shared" si="6"/>
        <v>0834520635</v>
      </c>
      <c r="J70" s="1" t="s">
        <v>684</v>
      </c>
      <c r="K70" s="1">
        <f t="shared" si="7"/>
        <v>50</v>
      </c>
      <c r="L70" s="12">
        <f t="shared" si="8"/>
        <v>115</v>
      </c>
      <c r="M70" s="1" t="str">
        <f t="shared" si="9"/>
        <v>"method":"createLead","external_system_uid":"B2C - 9PointPlanWA","external_source_id":"</v>
      </c>
      <c r="N70" s="1" t="str">
        <f t="shared" si="10"/>
        <v>","name":"Ryno Herbst (Contractor/Lead)","phone":"0834520635","lead_in_date":"22-March-2026 18:14:31","instance_uid":"793c83c2-f829-464c-ad82-a157cf85bf34","campaign_uid":"af7b2cbb-29a4-446b-b4fd-0199a060d9ad","email":"N/A","remark_message":"Source: Testimonial - B4 Electrical (requested 2026-02-28) Independent contractor using mobile electrical services.. Motivation: As a contractor moving between multiple sites, the risk of vehicle theft is constant; a tracking system provides 24/7 security.. Context: Works closely with B4 Electrical on projects.","meta":{"additional_partner_field1":"Suburb","additional_partner_field2":"N/A Johannesburg"}}</v>
      </c>
      <c r="O70" s="1" t="str">
        <f t="shared" si="11"/>
        <v>{"token":"611d6f1a-04a1-42eb-889f-c3ff8a29bf45","method":"createLead","external_system_uid":"B2C - 9PointPlanWA","external_source_id":"72","name":"Ryno Herbst (Contractor/Lead)","phone":"0834520635","lead_in_date":"22-March-2026 18:14:31","instance_uid":"793c83c2-f829-464c-ad82-a157cf85bf34","campaign_uid":"af7b2cbb-29a4-446b-b4fd-0199a060d9ad","email":"N/A","remark_message":"Source: Testimonial - B4 Electrical (requested 2026-02-28) Independent contractor using mobile electrical services.. Motivation: As a contractor moving between multiple sites, the risk of vehicle theft is constant; a tracking system provides 24/7 security.. Context: Works closely with B4 Electrical on projects.","meta":{"additional_partner_field1":"Suburb","additional_partner_field2":"N/A Johannesburg"}}</v>
      </c>
      <c r="P70" s="1" t="s">
        <v>692</v>
      </c>
    </row>
    <row r="71" spans="1:16" ht="54" customHeight="1" x14ac:dyDescent="0.3">
      <c r="A71" s="1">
        <v>73</v>
      </c>
      <c r="B71" s="4" t="s">
        <v>363</v>
      </c>
      <c r="C71" s="5" t="s">
        <v>364</v>
      </c>
      <c r="D71" s="6" t="s">
        <v>619</v>
      </c>
      <c r="E71" s="10" t="s">
        <v>7</v>
      </c>
      <c r="F71" s="8" t="s">
        <v>365</v>
      </c>
      <c r="G71" s="9" t="s">
        <v>366</v>
      </c>
      <c r="H71" s="11" t="s">
        <v>367</v>
      </c>
      <c r="I71" s="1" t="str">
        <f t="shared" si="6"/>
        <v>0824500435</v>
      </c>
      <c r="J71" s="1" t="s">
        <v>684</v>
      </c>
      <c r="K71" s="1">
        <f t="shared" si="7"/>
        <v>50</v>
      </c>
      <c r="L71" s="12">
        <f t="shared" si="8"/>
        <v>115</v>
      </c>
      <c r="M71" s="1" t="str">
        <f t="shared" si="9"/>
        <v>"method":"createLead","external_system_uid":"B2C - 9PointPlanWA","external_source_id":"</v>
      </c>
      <c r="N71" s="1" t="str">
        <f t="shared" si="10"/>
        <v>","name":"Bernad Lagesse (HBR Projects)","phone":"0824500435","lead_in_date":"22-March-2026 18:14:31","instance_uid":"793c83c2-f829-464c-ad82-a157cf85bf34","campaign_uid":"af7b2cbb-29a4-446b-b4fd-0199a060d9ad","email":"N/A","remark_message":"Source: Testimonial - Laatz Electrical (requested 2026-02-14) Construction and project manager SME.. Motivation: Large-scale electrical projects require secure logistics; tracking ensure assets are on-site and accounted for.. Context: High-quality electrical contractor partner.","meta":{"additional_partner_field1":"Suburb","additional_partner_field2":"Durban North Durban"}}</v>
      </c>
      <c r="O71" s="1" t="str">
        <f t="shared" si="11"/>
        <v>{"token":"611d6f1a-04a1-42eb-889f-c3ff8a29bf45","method":"createLead","external_system_uid":"B2C - 9PointPlanWA","external_source_id":"73","name":"Bernad Lagesse (HBR Projects)","phone":"0824500435","lead_in_date":"22-March-2026 18:14:31","instance_uid":"793c83c2-f829-464c-ad82-a157cf85bf34","campaign_uid":"af7b2cbb-29a4-446b-b4fd-0199a060d9ad","email":"N/A","remark_message":"Source: Testimonial - Laatz Electrical (requested 2026-02-14) Construction and project manager SME.. Motivation: Large-scale electrical projects require secure logistics; tracking ensure assets are on-site and accounted for.. Context: High-quality electrical contractor partner.","meta":{"additional_partner_field1":"Suburb","additional_partner_field2":"Durban North Durban"}}</v>
      </c>
      <c r="P71" s="1" t="s">
        <v>692</v>
      </c>
    </row>
    <row r="72" spans="1:16" ht="54" customHeight="1" x14ac:dyDescent="0.3">
      <c r="A72" s="1">
        <v>74</v>
      </c>
      <c r="B72" s="4" t="s">
        <v>368</v>
      </c>
      <c r="C72" s="5" t="s">
        <v>369</v>
      </c>
      <c r="D72" s="6" t="s">
        <v>652</v>
      </c>
      <c r="E72" s="7" t="s">
        <v>370</v>
      </c>
      <c r="F72" s="8" t="s">
        <v>371</v>
      </c>
      <c r="G72" s="9" t="s">
        <v>372</v>
      </c>
      <c r="H72" s="11" t="s">
        <v>373</v>
      </c>
      <c r="I72" s="1" t="str">
        <f t="shared" si="6"/>
        <v>0834299755</v>
      </c>
      <c r="J72" s="1" t="s">
        <v>684</v>
      </c>
      <c r="K72" s="1">
        <f t="shared" si="7"/>
        <v>50</v>
      </c>
      <c r="L72" s="12">
        <f t="shared" si="8"/>
        <v>115</v>
      </c>
      <c r="M72" s="1" t="str">
        <f t="shared" si="9"/>
        <v>"method":"createLead","external_system_uid":"B2C - 9PointPlanWA","external_source_id":"</v>
      </c>
      <c r="N72" s="1" t="str">
        <f t="shared" si="10"/>
        <v>","name":"Kagiso Letsebe (Media/SME Lead)","phone":"0834299755","lead_in_date":"22-March-2026 18:14:31","instance_uid":"793c83c2-f829-464c-ad82-a157cf85bf34","campaign_uid":"af7b2cbb-29a4-446b-b4fd-0199a060d9ad","email":"kletsebe@dffe.gov.za","remark_message":"Source: Keynote Address - Green Economy (requested 2026-03-02) Advocate for e-cargo bikes and small green logistics.. Motivation: E-cargo bikes for short-distance deliveries are prime targets for theft; small assets need specialized tracking units.. Context: Focused on sustainable transport for small business.","meta":{"additional_partner_field1":"Suburb","additional_partner_field2":"N/A Pretoria"}}</v>
      </c>
      <c r="O72" s="1" t="str">
        <f t="shared" si="11"/>
        <v>{"token":"611d6f1a-04a1-42eb-889f-c3ff8a29bf45","method":"createLead","external_system_uid":"B2C - 9PointPlanWA","external_source_id":"74","name":"Kagiso Letsebe (Media/SME Lead)","phone":"0834299755","lead_in_date":"22-March-2026 18:14:31","instance_uid":"793c83c2-f829-464c-ad82-a157cf85bf34","campaign_uid":"af7b2cbb-29a4-446b-b4fd-0199a060d9ad","email":"kletsebe@dffe.gov.za","remark_message":"Source: Keynote Address - Green Economy (requested 2026-03-02) Advocate for e-cargo bikes and small green logistics.. Motivation: E-cargo bikes for short-distance deliveries are prime targets for theft; small assets need specialized tracking units.. Context: Focused on sustainable transport for small business.","meta":{"additional_partner_field1":"Suburb","additional_partner_field2":"N/A Pretoria"}}</v>
      </c>
      <c r="P72" s="1" t="s">
        <v>692</v>
      </c>
    </row>
    <row r="73" spans="1:16" ht="54" customHeight="1" x14ac:dyDescent="0.3">
      <c r="A73" s="1">
        <v>75</v>
      </c>
      <c r="B73" s="4" t="s">
        <v>374</v>
      </c>
      <c r="C73" s="5" t="s">
        <v>375</v>
      </c>
      <c r="D73" s="6" t="s">
        <v>653</v>
      </c>
      <c r="E73" s="7" t="s">
        <v>376</v>
      </c>
      <c r="F73" s="8" t="s">
        <v>377</v>
      </c>
      <c r="G73" s="9" t="s">
        <v>378</v>
      </c>
      <c r="H73" s="11" t="s">
        <v>379</v>
      </c>
      <c r="I73" s="1" t="str">
        <f t="shared" si="6"/>
        <v>0837553213</v>
      </c>
      <c r="J73" s="1" t="s">
        <v>684</v>
      </c>
      <c r="K73" s="1">
        <f t="shared" si="7"/>
        <v>50</v>
      </c>
      <c r="L73" s="12">
        <f t="shared" si="8"/>
        <v>115</v>
      </c>
      <c r="M73" s="1" t="str">
        <f t="shared" si="9"/>
        <v>"method":"createLead","external_system_uid":"B2C - 9PointPlanWA","external_source_id":"</v>
      </c>
      <c r="N73" s="1" t="str">
        <f t="shared" si="10"/>
        <v>","name":"Muneera Allie (Mobility Department)","phone":"0837553213","lead_in_date":"22-March-2026 18:14:31","instance_uid":"793c83c2-f829-464c-ad82-a157cf85bf34","campaign_uid":"af7b2cbb-29a4-446b-b4fd-0199a060d9ad","email":"Muneera.Allie@westerncape.gov.za","remark_message":"Source: Government News - E-hailing (requested 2025-06-25) Government contact for e-hailing taxi services.. Motivation: New e-hailing license applicants must demonstrate their vehicles meet safety standards, which includes tracking and insurance.. Context: Head of Communication for Mobility.","meta":{"additional_partner_field1":"Suburb","additional_partner_field2":"N/A Cape Town"}}</v>
      </c>
      <c r="O73" s="1" t="str">
        <f t="shared" si="11"/>
        <v>{"token":"611d6f1a-04a1-42eb-889f-c3ff8a29bf45","method":"createLead","external_system_uid":"B2C - 9PointPlanWA","external_source_id":"75","name":"Muneera Allie (Mobility Department)","phone":"0837553213","lead_in_date":"22-March-2026 18:14:31","instance_uid":"793c83c2-f829-464c-ad82-a157cf85bf34","campaign_uid":"af7b2cbb-29a4-446b-b4fd-0199a060d9ad","email":"Muneera.Allie@westerncape.gov.za","remark_message":"Source: Government News - E-hailing (requested 2025-06-25) Government contact for e-hailing taxi services.. Motivation: New e-hailing license applicants must demonstrate their vehicles meet safety standards, which includes tracking and insurance.. Context: Head of Communication for Mobility.","meta":{"additional_partner_field1":"Suburb","additional_partner_field2":"N/A Cape Town"}}</v>
      </c>
      <c r="P73" s="1" t="s">
        <v>692</v>
      </c>
    </row>
    <row r="74" spans="1:16" ht="54" customHeight="1" x14ac:dyDescent="0.3">
      <c r="A74" s="1">
        <v>76</v>
      </c>
      <c r="B74" s="4" t="s">
        <v>380</v>
      </c>
      <c r="C74" s="5" t="s">
        <v>381</v>
      </c>
      <c r="D74" s="6" t="s">
        <v>654</v>
      </c>
      <c r="E74" s="10" t="s">
        <v>7</v>
      </c>
      <c r="F74" s="8" t="s">
        <v>382</v>
      </c>
      <c r="G74" s="9" t="s">
        <v>383</v>
      </c>
      <c r="H74" s="11" t="s">
        <v>384</v>
      </c>
      <c r="I74" s="1" t="str">
        <f t="shared" si="6"/>
        <v>0823754742</v>
      </c>
      <c r="J74" s="1" t="s">
        <v>684</v>
      </c>
      <c r="K74" s="1">
        <f t="shared" si="7"/>
        <v>50</v>
      </c>
      <c r="L74" s="12">
        <f t="shared" si="8"/>
        <v>115</v>
      </c>
      <c r="M74" s="1" t="str">
        <f t="shared" si="9"/>
        <v>"method":"createLead","external_system_uid":"B2C - 9PointPlanWA","external_source_id":"</v>
      </c>
      <c r="N74" s="1" t="str">
        <f t="shared" si="10"/>
        <v>","name":"Ndabezinhle Sibiya (Transport Spokesperson)","phone":"0823754742","lead_in_date":"22-March-2026 18:14:31","instance_uid":"793c83c2-f829-464c-ad82-a157cf85bf34","campaign_uid":"af7b2cbb-29a4-446b-b4fd-0199a060d9ad","email":"N/A","remark_message":"Source: Government News - Bolt Driver Attack (requested 2026-02-14) Liaison for e-hailing regulations and safety.. Motivation: E-hailing drivers face extortion and physical threats; a tracker with an SOS feature can save lives and vehicles.. Context: Spokesperson for MEC of Transport in KZN.","meta":{"additional_partner_field1":"Suburb","additional_partner_field2":"Phoenix Durban"}}</v>
      </c>
      <c r="O74" s="1" t="str">
        <f t="shared" si="11"/>
        <v>{"token":"611d6f1a-04a1-42eb-889f-c3ff8a29bf45","method":"createLead","external_system_uid":"B2C - 9PointPlanWA","external_source_id":"76","name":"Ndabezinhle Sibiya (Transport Spokesperson)","phone":"0823754742","lead_in_date":"22-March-2026 18:14:31","instance_uid":"793c83c2-f829-464c-ad82-a157cf85bf34","campaign_uid":"af7b2cbb-29a4-446b-b4fd-0199a060d9ad","email":"N/A","remark_message":"Source: Government News - Bolt Driver Attack (requested 2026-02-14) Liaison for e-hailing regulations and safety.. Motivation: E-hailing drivers face extortion and physical threats; a tracker with an SOS feature can save lives and vehicles.. Context: Spokesperson for MEC of Transport in KZN.","meta":{"additional_partner_field1":"Suburb","additional_partner_field2":"Phoenix Durban"}}</v>
      </c>
      <c r="P74" s="1" t="s">
        <v>692</v>
      </c>
    </row>
    <row r="75" spans="1:16" ht="54" hidden="1" customHeight="1" x14ac:dyDescent="0.3">
      <c r="A75" s="1">
        <v>77</v>
      </c>
      <c r="B75" s="4" t="s">
        <v>385</v>
      </c>
      <c r="C75" s="5" t="s">
        <v>386</v>
      </c>
      <c r="D75" s="6" t="s">
        <v>654</v>
      </c>
      <c r="E75" s="10" t="s">
        <v>7</v>
      </c>
      <c r="F75" s="8" t="s">
        <v>387</v>
      </c>
      <c r="G75" s="9" t="s">
        <v>388</v>
      </c>
      <c r="H75" s="11" t="s">
        <v>389</v>
      </c>
      <c r="I75" s="1" t="str">
        <f t="shared" si="6"/>
        <v>0823754742</v>
      </c>
      <c r="J75" s="1" t="s">
        <v>684</v>
      </c>
      <c r="K75" s="1">
        <f t="shared" si="7"/>
        <v>50</v>
      </c>
      <c r="L75" s="12">
        <f t="shared" si="8"/>
        <v>115</v>
      </c>
      <c r="M75" s="1" t="str">
        <f t="shared" si="9"/>
        <v>"method":"createLead","external_system_uid":"B2C - 9PointPlanWA","external_source_id":"</v>
      </c>
      <c r="N75" s="1" t="str">
        <f t="shared" si="10"/>
        <v>","name":"KZN e-Hailing Council Chairperson","phone":"0823754742","lead_in_date":"22-March-2026 18:14:31","instance_uid":"793c83c2-f829-464c-ad82-a157cf85bf34","campaign_uid":"af7b2cbb-29a4-446b-b4fd-0199a060d9ad","email":"N/A","remark_message":"Source: News - Bolt Driver Hijacking (requested 2026-02-14) Representative for e-hailing drivers in KwaZulu-Natal.. Motivation: The recent assault and hijacking of a Bolt driver in Phoenix underscores the desperate need for tracking and rapid response.. Context: Leading the response for driver safety in Phoenix.","meta":{"additional_partner_field1":"Suburb","additional_partner_field2":"Phoenix Durban"}}</v>
      </c>
      <c r="O75" s="1" t="str">
        <f t="shared" si="11"/>
        <v>{"token":"611d6f1a-04a1-42eb-889f-c3ff8a29bf45","method":"createLead","external_system_uid":"B2C - 9PointPlanWA","external_source_id":"77","name":"KZN e-Hailing Council Chairperson","phone":"0823754742","lead_in_date":"22-March-2026 18:14:31","instance_uid":"793c83c2-f829-464c-ad82-a157cf85bf34","campaign_uid":"af7b2cbb-29a4-446b-b4fd-0199a060d9ad","email":"N/A","remark_message":"Source: News - Bolt Driver Hijacking (requested 2026-02-14) Representative for e-hailing drivers in KwaZulu-Natal.. Motivation: The recent assault and hijacking of a Bolt driver in Phoenix underscores the desperate need for tracking and rapid response.. Context: Leading the response for driver safety in Phoenix.","meta":{"additional_partner_field1":"Suburb","additional_partner_field2":"Phoenix Durban"}}</v>
      </c>
    </row>
    <row r="76" spans="1:16" ht="54" hidden="1" customHeight="1" x14ac:dyDescent="0.3">
      <c r="A76" s="1">
        <v>78</v>
      </c>
      <c r="B76" s="4" t="s">
        <v>390</v>
      </c>
      <c r="C76" s="5" t="s">
        <v>391</v>
      </c>
      <c r="D76" s="6" t="s">
        <v>655</v>
      </c>
      <c r="E76" s="10" t="s">
        <v>7</v>
      </c>
      <c r="F76" s="8" t="s">
        <v>392</v>
      </c>
      <c r="G76" s="9" t="s">
        <v>393</v>
      </c>
      <c r="H76" s="11" t="s">
        <v>394</v>
      </c>
      <c r="I76" s="1" t="str">
        <f t="shared" si="6"/>
        <v>0828288638</v>
      </c>
      <c r="J76" s="1" t="s">
        <v>684</v>
      </c>
      <c r="K76" s="1">
        <f t="shared" si="7"/>
        <v>50</v>
      </c>
      <c r="L76" s="12">
        <f t="shared" si="8"/>
        <v>115</v>
      </c>
      <c r="M76" s="1" t="str">
        <f t="shared" si="9"/>
        <v>"method":"createLead","external_system_uid":"B2C - 9PointPlanWA","external_source_id":"</v>
      </c>
      <c r="N76" s="1" t="str">
        <f t="shared" si="10"/>
        <v>","name":"Pace Car Rental (Uber Partner)","phone":"0828288638","lead_in_date":"22-March-2026 18:14:31","instance_uid":"793c83c2-f829-464c-ad82-a157cf85bf34","campaign_uid":"af7b2cbb-29a4-446b-b4fd-0199a060d9ad","email":"N/A","remark_message":"Source: Uber Partner Page - Rentals (requested 2026-03-22) Service provider for existing Uber driver-partners.. Motivation: Rent-to-buy vehicles must have trackers to protect the investment of both the rental company and the aspiring owner.. Context: Johannesburg and Cape Town coverage.","meta":{"additional_partner_field1":"Suburb","additional_partner_field2":"N/A Johannesburg"}}</v>
      </c>
      <c r="O76" s="1" t="str">
        <f t="shared" si="11"/>
        <v>{"token":"611d6f1a-04a1-42eb-889f-c3ff8a29bf45","method":"createLead","external_system_uid":"B2C - 9PointPlanWA","external_source_id":"78","name":"Pace Car Rental (Uber Partner)","phone":"0828288638","lead_in_date":"22-March-2026 18:14:31","instance_uid":"793c83c2-f829-464c-ad82-a157cf85bf34","campaign_uid":"af7b2cbb-29a4-446b-b4fd-0199a060d9ad","email":"N/A","remark_message":"Source: Uber Partner Page - Rentals (requested 2026-03-22) Service provider for existing Uber driver-partners.. Motivation: Rent-to-buy vehicles must have trackers to protect the investment of both the rental company and the aspiring owner.. Context: Johannesburg and Cape Town coverage.","meta":{"additional_partner_field1":"Suburb","additional_partner_field2":"N/A Johannesburg"}}</v>
      </c>
    </row>
    <row r="77" spans="1:16" ht="54" hidden="1" customHeight="1" x14ac:dyDescent="0.3">
      <c r="A77" s="1">
        <v>79</v>
      </c>
      <c r="B77" s="4" t="s">
        <v>395</v>
      </c>
      <c r="C77" s="5" t="s">
        <v>396</v>
      </c>
      <c r="D77" s="6" t="s">
        <v>655</v>
      </c>
      <c r="E77" s="10" t="s">
        <v>7</v>
      </c>
      <c r="F77" s="8" t="s">
        <v>397</v>
      </c>
      <c r="G77" s="9" t="s">
        <v>398</v>
      </c>
      <c r="H77" s="11" t="s">
        <v>399</v>
      </c>
      <c r="I77" s="1" t="str">
        <f t="shared" si="6"/>
        <v>0828288638</v>
      </c>
      <c r="J77" s="1" t="s">
        <v>684</v>
      </c>
      <c r="K77" s="1">
        <f t="shared" si="7"/>
        <v>50</v>
      </c>
      <c r="L77" s="12">
        <f t="shared" si="8"/>
        <v>115</v>
      </c>
      <c r="M77" s="1" t="str">
        <f t="shared" si="9"/>
        <v>"method":"createLead","external_system_uid":"B2C - 9PointPlanWA","external_source_id":"</v>
      </c>
      <c r="N77" s="1" t="str">
        <f t="shared" si="10"/>
        <v>","name":"FlexClub (Drive-To-Buy)","phone":"0828288638","lead_in_date":"22-March-2026 18:14:31","instance_uid":"793c83c2-f829-464c-ad82-a157cf85bf34","campaign_uid":"af7b2cbb-29a4-446b-b4fd-0199a060d9ad","email":"N/A","remark_message":"Source: Uber Partner Page - FlexClub (requested 2026-03-22) Vehicle ownership platform for e-hailing drivers.. Motivation: Comprehensive insurance and tracking are included in fees, but drivers need independent tracking for dual-purpose vehicle usage.. Context: Offers personalized pricing for drivers.","meta":{"additional_partner_field1":"Suburb","additional_partner_field2":"N/A Cape Town"}}</v>
      </c>
      <c r="O77" s="1" t="str">
        <f t="shared" si="11"/>
        <v>{"token":"611d6f1a-04a1-42eb-889f-c3ff8a29bf45","method":"createLead","external_system_uid":"B2C - 9PointPlanWA","external_source_id":"79","name":"FlexClub (Drive-To-Buy)","phone":"0828288638","lead_in_date":"22-March-2026 18:14:31","instance_uid":"793c83c2-f829-464c-ad82-a157cf85bf34","campaign_uid":"af7b2cbb-29a4-446b-b4fd-0199a060d9ad","email":"N/A","remark_message":"Source: Uber Partner Page - FlexClub (requested 2026-03-22) Vehicle ownership platform for e-hailing drivers.. Motivation: Comprehensive insurance and tracking are included in fees, but drivers need independent tracking for dual-purpose vehicle usage.. Context: Offers personalized pricing for drivers.","meta":{"additional_partner_field1":"Suburb","additional_partner_field2":"N/A Cape Town"}}</v>
      </c>
    </row>
    <row r="78" spans="1:16" ht="54" customHeight="1" x14ac:dyDescent="0.3">
      <c r="A78" s="1">
        <v>80</v>
      </c>
      <c r="B78" s="4" t="s">
        <v>43</v>
      </c>
      <c r="C78" s="5" t="s">
        <v>400</v>
      </c>
      <c r="D78" s="6" t="s">
        <v>656</v>
      </c>
      <c r="E78" s="10" t="s">
        <v>7</v>
      </c>
      <c r="F78" s="8" t="s">
        <v>401</v>
      </c>
      <c r="G78" s="9" t="s">
        <v>402</v>
      </c>
      <c r="H78" s="11" t="s">
        <v>403</v>
      </c>
      <c r="I78" s="1" t="str">
        <f t="shared" si="6"/>
        <v>0753551258</v>
      </c>
      <c r="J78" s="1" t="s">
        <v>684</v>
      </c>
      <c r="K78" s="1">
        <f t="shared" si="7"/>
        <v>50</v>
      </c>
      <c r="L78" s="12">
        <f t="shared" si="8"/>
        <v>115</v>
      </c>
      <c r="M78" s="1" t="str">
        <f t="shared" si="9"/>
        <v>"method":"createLead","external_system_uid":"B2C - 9PointPlanWA","external_source_id":"</v>
      </c>
      <c r="N78" s="1" t="str">
        <f t="shared" si="10"/>
        <v>","name":"Syabonga (Eastern Pretoria Bakkie Hire)","phone":"0753551258","lead_in_date":"22-March-2026 18:14:31","instance_uid":"793c83c2-f829-464c-ad82-a157cf85bf34","campaign_uid":"af7b2cbb-29a4-446b-b4fd-0199a060d9ad","email":"N/A","remark_message":"Source: Gumtree - Bakkie Hire (requested 2026-03-22) Local and long-distance transportation service.. Motivation: Protect the bakkie from theft in busy shopping centers while loading furniture or supplies.. Context: Available for households and office removals.","meta":{"additional_partner_field1":"Suburb","additional_partner_field2":"Eastern Pretoria Pretoria"}}</v>
      </c>
      <c r="O78" s="1" t="str">
        <f t="shared" si="11"/>
        <v>{"token":"611d6f1a-04a1-42eb-889f-c3ff8a29bf45","method":"createLead","external_system_uid":"B2C - 9PointPlanWA","external_source_id":"80","name":"Syabonga (Eastern Pretoria Bakkie Hire)","phone":"0753551258","lead_in_date":"22-March-2026 18:14:31","instance_uid":"793c83c2-f829-464c-ad82-a157cf85bf34","campaign_uid":"af7b2cbb-29a4-446b-b4fd-0199a060d9ad","email":"N/A","remark_message":"Source: Gumtree - Bakkie Hire (requested 2026-03-22) Local and long-distance transportation service.. Motivation: Protect the bakkie from theft in busy shopping centers while loading furniture or supplies.. Context: Available for households and office removals.","meta":{"additional_partner_field1":"Suburb","additional_partner_field2":"Eastern Pretoria Pretoria"}}</v>
      </c>
      <c r="P78" s="1" t="s">
        <v>692</v>
      </c>
    </row>
    <row r="79" spans="1:16" ht="54" customHeight="1" x14ac:dyDescent="0.3">
      <c r="A79" s="1">
        <v>81</v>
      </c>
      <c r="B79" s="4" t="s">
        <v>48</v>
      </c>
      <c r="C79" s="5" t="s">
        <v>404</v>
      </c>
      <c r="D79" s="6" t="s">
        <v>610</v>
      </c>
      <c r="E79" s="7" t="s">
        <v>405</v>
      </c>
      <c r="F79" s="8" t="s">
        <v>406</v>
      </c>
      <c r="G79" s="9" t="s">
        <v>407</v>
      </c>
      <c r="H79" s="11" t="s">
        <v>408</v>
      </c>
      <c r="I79" s="1" t="str">
        <f t="shared" si="6"/>
        <v>0719135405</v>
      </c>
      <c r="J79" s="1" t="s">
        <v>684</v>
      </c>
      <c r="K79" s="1">
        <f t="shared" si="7"/>
        <v>50</v>
      </c>
      <c r="L79" s="12">
        <f t="shared" si="8"/>
        <v>115</v>
      </c>
      <c r="M79" s="1" t="str">
        <f t="shared" si="9"/>
        <v>"method":"createLead","external_system_uid":"B2C - 9PointPlanWA","external_source_id":"</v>
      </c>
      <c r="N79" s="1" t="str">
        <f t="shared" si="10"/>
        <v>","name":"Lucas Removal (Centurion)","phone":"0719135405","lead_in_date":"22-March-2026 18:14:31","instance_uid":"793c83c2-f829-464c-ad82-a157cf85bf34","campaign_uid":"af7b2cbb-29a4-446b-b4fd-0199a060d9ad","email":"taylorziba87@gmail.com","remark_message":"Source: Gumtree - Removals (requested 2026-02-20) Mobile removal service for furniture and goods.. Motivation: Tracking helps in verifying trips for high-volume commercial moving clients, ensuring billing is 100% accurate.. Context: Centurion and surrounding areas.","meta":{"additional_partner_field1":"Suburb","additional_partner_field2":"Centurion Pretoria"}}</v>
      </c>
      <c r="O79" s="1" t="str">
        <f t="shared" si="11"/>
        <v>{"token":"611d6f1a-04a1-42eb-889f-c3ff8a29bf45","method":"createLead","external_system_uid":"B2C - 9PointPlanWA","external_source_id":"81","name":"Lucas Removal (Centurion)","phone":"0719135405","lead_in_date":"22-March-2026 18:14:31","instance_uid":"793c83c2-f829-464c-ad82-a157cf85bf34","campaign_uid":"af7b2cbb-29a4-446b-b4fd-0199a060d9ad","email":"taylorziba87@gmail.com","remark_message":"Source: Gumtree - Removals (requested 2026-02-20) Mobile removal service for furniture and goods.. Motivation: Tracking helps in verifying trips for high-volume commercial moving clients, ensuring billing is 100% accurate.. Context: Centurion and surrounding areas.","meta":{"additional_partner_field1":"Suburb","additional_partner_field2":"Centurion Pretoria"}}</v>
      </c>
      <c r="P79" s="1" t="s">
        <v>692</v>
      </c>
    </row>
    <row r="80" spans="1:16" ht="54" customHeight="1" x14ac:dyDescent="0.3">
      <c r="A80" s="1">
        <v>82</v>
      </c>
      <c r="B80" s="4" t="s">
        <v>409</v>
      </c>
      <c r="C80" s="5" t="s">
        <v>410</v>
      </c>
      <c r="D80" s="6" t="s">
        <v>596</v>
      </c>
      <c r="E80" s="10" t="s">
        <v>7</v>
      </c>
      <c r="F80" s="8" t="s">
        <v>411</v>
      </c>
      <c r="G80" s="9" t="s">
        <v>412</v>
      </c>
      <c r="H80" s="11" t="s">
        <v>413</v>
      </c>
      <c r="I80" s="1" t="str">
        <f t="shared" si="6"/>
        <v>0746112704</v>
      </c>
      <c r="J80" s="1" t="s">
        <v>684</v>
      </c>
      <c r="K80" s="1">
        <f t="shared" si="7"/>
        <v>50</v>
      </c>
      <c r="L80" s="12">
        <f t="shared" si="8"/>
        <v>115</v>
      </c>
      <c r="M80" s="1" t="str">
        <f t="shared" si="9"/>
        <v>"method":"createLead","external_system_uid":"B2C - 9PointPlanWA","external_source_id":"</v>
      </c>
      <c r="N80" s="1" t="str">
        <f t="shared" si="10"/>
        <v>","name":"Denise (Durban Transport SME)","phone":"0746112704","lead_in_date":"22-March-2026 18:14:31","instance_uid":"793c83c2-f829-464c-ad82-a157cf85bf34","campaign_uid":"af7b2cbb-29a4-446b-b4fd-0199a060d9ad","email":"N/A","remark_message":"Source: Gumtree - Long Distance (requested 2026-02-20) Transporting goods from Durban to JHB/Cape Town.. Motivation: The risk of cargo loss on national roads is extreme; a hidden tracker is the best way to recover a hijacked load.. Context: Covers Port Shepstone to Pretoria.","meta":{"additional_partner_field1":"Suburb","additional_partner_field2":"Durban Central Durban"}}</v>
      </c>
      <c r="O80" s="1" t="str">
        <f t="shared" si="11"/>
        <v>{"token":"611d6f1a-04a1-42eb-889f-c3ff8a29bf45","method":"createLead","external_system_uid":"B2C - 9PointPlanWA","external_source_id":"82","name":"Denise (Durban Transport SME)","phone":"0746112704","lead_in_date":"22-March-2026 18:14:31","instance_uid":"793c83c2-f829-464c-ad82-a157cf85bf34","campaign_uid":"af7b2cbb-29a4-446b-b4fd-0199a060d9ad","email":"N/A","remark_message":"Source: Gumtree - Long Distance (requested 2026-02-20) Transporting goods from Durban to JHB/Cape Town.. Motivation: The risk of cargo loss on national roads is extreme; a hidden tracker is the best way to recover a hijacked load.. Context: Covers Port Shepstone to Pretoria.","meta":{"additional_partner_field1":"Suburb","additional_partner_field2":"Durban Central Durban"}}</v>
      </c>
      <c r="P80" s="1" t="s">
        <v>692</v>
      </c>
    </row>
    <row r="81" spans="1:16" ht="54" customHeight="1" x14ac:dyDescent="0.3">
      <c r="A81" s="1">
        <v>83</v>
      </c>
      <c r="B81" s="4" t="s">
        <v>414</v>
      </c>
      <c r="C81" s="5" t="s">
        <v>415</v>
      </c>
      <c r="D81" s="6" t="s">
        <v>657</v>
      </c>
      <c r="E81" s="7" t="s">
        <v>416</v>
      </c>
      <c r="F81" s="8" t="s">
        <v>417</v>
      </c>
      <c r="G81" s="9" t="s">
        <v>418</v>
      </c>
      <c r="H81" s="11" t="s">
        <v>419</v>
      </c>
      <c r="I81" s="1" t="str">
        <f t="shared" si="6"/>
        <v>0605673495</v>
      </c>
      <c r="J81" s="1" t="s">
        <v>684</v>
      </c>
      <c r="K81" s="1">
        <f t="shared" si="7"/>
        <v>50</v>
      </c>
      <c r="L81" s="12">
        <f t="shared" si="8"/>
        <v>115</v>
      </c>
      <c r="M81" s="1" t="str">
        <f t="shared" si="9"/>
        <v>"method":"createLead","external_system_uid":"B2C - 9PointPlanWA","external_source_id":"</v>
      </c>
      <c r="N81" s="1" t="str">
        <f t="shared" si="10"/>
        <v>","name":"Mike T (Affordable Truck Hire)","phone":"0605673495","lead_in_date":"22-March-2026 18:14:31","instance_uid":"793c83c2-f829-464c-ad82-a157cf85bf34","campaign_uid":"af7b2cbb-29a4-446b-b4fd-0199a060d9ad","email":"affordabletruckhire@gmail.com","remark_message":"Source: Gumtree - Truck Hire (requested 2026-03-21) Small business providing fleet of bakkies and trucks.. Motivation: For a rental business, knowing the exact location and health of your vehicles at all times is the key to minimizing losses.. Context: Modern fleet available across South Africa.","meta":{"additional_partner_field1":"Suburb","additional_partner_field2":"City Centre Johannesburg"}}</v>
      </c>
      <c r="O81" s="1" t="str">
        <f t="shared" si="11"/>
        <v>{"token":"611d6f1a-04a1-42eb-889f-c3ff8a29bf45","method":"createLead","external_system_uid":"B2C - 9PointPlanWA","external_source_id":"83","name":"Mike T (Affordable Truck Hire)","phone":"0605673495","lead_in_date":"22-March-2026 18:14:31","instance_uid":"793c83c2-f829-464c-ad82-a157cf85bf34","campaign_uid":"af7b2cbb-29a4-446b-b4fd-0199a060d9ad","email":"affordabletruckhire@gmail.com","remark_message":"Source: Gumtree - Truck Hire (requested 2026-03-21) Small business providing fleet of bakkies and trucks.. Motivation: For a rental business, knowing the exact location and health of your vehicles at all times is the key to minimizing losses.. Context: Modern fleet available across South Africa.","meta":{"additional_partner_field1":"Suburb","additional_partner_field2":"City Centre Johannesburg"}}</v>
      </c>
      <c r="P81" s="1" t="s">
        <v>692</v>
      </c>
    </row>
    <row r="82" spans="1:16" ht="54" customHeight="1" x14ac:dyDescent="0.3">
      <c r="A82" s="1">
        <v>84</v>
      </c>
      <c r="B82" s="4" t="s">
        <v>43</v>
      </c>
      <c r="C82" s="5" t="s">
        <v>420</v>
      </c>
      <c r="D82" s="6" t="s">
        <v>609</v>
      </c>
      <c r="E82" s="10" t="s">
        <v>7</v>
      </c>
      <c r="F82" s="8" t="s">
        <v>421</v>
      </c>
      <c r="G82" s="9" t="s">
        <v>422</v>
      </c>
      <c r="H82" s="11" t="s">
        <v>423</v>
      </c>
      <c r="I82" s="1" t="str">
        <f t="shared" si="6"/>
        <v>0614278876</v>
      </c>
      <c r="J82" s="1" t="s">
        <v>684</v>
      </c>
      <c r="K82" s="1">
        <f t="shared" si="7"/>
        <v>50</v>
      </c>
      <c r="L82" s="12">
        <f t="shared" si="8"/>
        <v>115</v>
      </c>
      <c r="M82" s="1" t="str">
        <f t="shared" si="9"/>
        <v>"method":"createLead","external_system_uid":"B2C - 9PointPlanWA","external_source_id":"</v>
      </c>
      <c r="N82" s="1" t="str">
        <f t="shared" si="10"/>
        <v>","name":"André (Durban mini loads)","phone":"0614278876","lead_in_date":"22-March-2026 18:14:31","instance_uid":"793c83c2-f829-464c-ad82-a157cf85bf34","campaign_uid":"af7b2cbb-29a4-446b-b4fd-0199a060d9ad","email":"N/A","remark_message":"Source: Gumtree - Bakkie Hire (requested 2026-03-22) Bakkie hire inclusive of driver for Durban surroundings.. Motivation: Tracking ensures that drivers don't take unauthorized personal detours, keeping fuel costs under control.. Context: Hyundai H100 available for mini loads.","meta":{"additional_partner_field1":"Suburb","additional_partner_field2":"Berea Durban"}}</v>
      </c>
      <c r="O82" s="1" t="str">
        <f t="shared" si="11"/>
        <v>{"token":"611d6f1a-04a1-42eb-889f-c3ff8a29bf45","method":"createLead","external_system_uid":"B2C - 9PointPlanWA","external_source_id":"84","name":"André (Durban mini loads)","phone":"0614278876","lead_in_date":"22-March-2026 18:14:31","instance_uid":"793c83c2-f829-464c-ad82-a157cf85bf34","campaign_uid":"af7b2cbb-29a4-446b-b4fd-0199a060d9ad","email":"N/A","remark_message":"Source: Gumtree - Bakkie Hire (requested 2026-03-22) Bakkie hire inclusive of driver for Durban surroundings.. Motivation: Tracking ensures that drivers don't take unauthorized personal detours, keeping fuel costs under control.. Context: Hyundai H100 available for mini loads.","meta":{"additional_partner_field1":"Suburb","additional_partner_field2":"Berea Durban"}}</v>
      </c>
      <c r="P82" s="1" t="s">
        <v>692</v>
      </c>
    </row>
    <row r="83" spans="1:16" ht="54" hidden="1" customHeight="1" x14ac:dyDescent="0.3">
      <c r="A83" s="1">
        <v>85</v>
      </c>
      <c r="B83" s="4" t="s">
        <v>424</v>
      </c>
      <c r="C83" s="5" t="s">
        <v>425</v>
      </c>
      <c r="D83" s="6" t="s">
        <v>597</v>
      </c>
      <c r="E83" s="10" t="s">
        <v>7</v>
      </c>
      <c r="F83" s="8" t="s">
        <v>426</v>
      </c>
      <c r="G83" s="9" t="s">
        <v>427</v>
      </c>
      <c r="H83" s="11" t="s">
        <v>428</v>
      </c>
      <c r="I83" s="1" t="str">
        <f t="shared" si="6"/>
        <v>0824947638</v>
      </c>
      <c r="J83" s="1" t="s">
        <v>684</v>
      </c>
      <c r="K83" s="1">
        <f t="shared" si="7"/>
        <v>50</v>
      </c>
      <c r="L83" s="12">
        <f t="shared" si="8"/>
        <v>115</v>
      </c>
      <c r="M83" s="1" t="str">
        <f t="shared" si="9"/>
        <v>"method":"createLead","external_system_uid":"B2C - 9PointPlanWA","external_source_id":"</v>
      </c>
      <c r="N83" s="1" t="str">
        <f t="shared" si="10"/>
        <v>","name":"Bakkie for Hire Eldorado Park","phone":"0824947638","lead_in_date":"22-March-2026 18:14:31","instance_uid":"793c83c2-f829-464c-ad82-a157cf85bf34","campaign_uid":"af7b2cbb-29a4-446b-b4fd-0199a060d9ad","email":"N/A","remark_message":"Source: Gumtree - Services (requested 2026-03-19) Small transport operator in Eldorado Park.. Motivation: In high-risk residential areas like Eldorado Park, a tracker with a strong recovery team is an absolute necessity.. Context: Affordable bakkie hire services.","meta":{"additional_partner_field1":"Suburb","additional_partner_field2":"Eldorado Park Johannesburg"}}</v>
      </c>
      <c r="O83" s="1" t="str">
        <f t="shared" si="11"/>
        <v>{"token":"611d6f1a-04a1-42eb-889f-c3ff8a29bf45","method":"createLead","external_system_uid":"B2C - 9PointPlanWA","external_source_id":"85","name":"Bakkie for Hire Eldorado Park","phone":"0824947638","lead_in_date":"22-March-2026 18:14:31","instance_uid":"793c83c2-f829-464c-ad82-a157cf85bf34","campaign_uid":"af7b2cbb-29a4-446b-b4fd-0199a060d9ad","email":"N/A","remark_message":"Source: Gumtree - Services (requested 2026-03-19) Small transport operator in Eldorado Park.. Motivation: In high-risk residential areas like Eldorado Park, a tracker with a strong recovery team is an absolute necessity.. Context: Affordable bakkie hire services.","meta":{"additional_partner_field1":"Suburb","additional_partner_field2":"Eldorado Park Johannesburg"}}</v>
      </c>
    </row>
    <row r="84" spans="1:16" ht="54" hidden="1" customHeight="1" x14ac:dyDescent="0.3">
      <c r="A84" s="1">
        <v>86</v>
      </c>
      <c r="B84" s="4" t="s">
        <v>429</v>
      </c>
      <c r="C84" s="5" t="s">
        <v>430</v>
      </c>
      <c r="D84" s="6" t="s">
        <v>658</v>
      </c>
      <c r="E84" s="10" t="s">
        <v>7</v>
      </c>
      <c r="F84" s="8" t="s">
        <v>431</v>
      </c>
      <c r="G84" s="9" t="s">
        <v>432</v>
      </c>
      <c r="H84" s="11" t="s">
        <v>433</v>
      </c>
      <c r="I84" s="1" t="str">
        <f t="shared" si="6"/>
        <v>0842239563</v>
      </c>
      <c r="J84" s="1" t="s">
        <v>684</v>
      </c>
      <c r="K84" s="1">
        <f t="shared" si="7"/>
        <v>50</v>
      </c>
      <c r="L84" s="12">
        <f t="shared" si="8"/>
        <v>115</v>
      </c>
      <c r="M84" s="1" t="str">
        <f t="shared" si="9"/>
        <v>"method":"createLead","external_system_uid":"B2C - 9PointPlanWA","external_source_id":"</v>
      </c>
      <c r="N84" s="1" t="str">
        <f t="shared" si="10"/>
        <v>","name":"Mini Truck &amp; Bakkie 4 Hire (East London)","phone":"0842239563","lead_in_date":"22-March-2026 18:14:31","instance_uid":"793c83c2-f829-464c-ad82-a157cf85bf34","campaign_uid":"af7b2cbb-29a4-446b-b4fd-0199a060d9ad","email":"N/A","remark_message":"Source: Gumtree - East London (requested 2026-03-20) Deliveries and removals in the Eastern Cape.. Motivation: Transporting goods to Mthatha and Queenstown involves high-theft corridors where a tracker can be the difference between recovery and total loss.. Context: NP300 and H100 vehicles for hire.","meta":{"additional_partner_field1":"Suburb","additional_partner_field2":"East London East London"}}</v>
      </c>
      <c r="O84" s="1" t="str">
        <f t="shared" si="11"/>
        <v>{"token":"611d6f1a-04a1-42eb-889f-c3ff8a29bf45","method":"createLead","external_system_uid":"B2C - 9PointPlanWA","external_source_id":"86","name":"Mini Truck &amp; Bakkie 4 Hire (East London)","phone":"0842239563","lead_in_date":"22-March-2026 18:14:31","instance_uid":"793c83c2-f829-464c-ad82-a157cf85bf34","campaign_uid":"af7b2cbb-29a4-446b-b4fd-0199a060d9ad","email":"N/A","remark_message":"Source: Gumtree - East London (requested 2026-03-20) Deliveries and removals in the Eastern Cape.. Motivation: Transporting goods to Mthatha and Queenstown involves high-theft corridors where a tracker can be the difference between recovery and total loss.. Context: NP300 and H100 vehicles for hire.","meta":{"additional_partner_field1":"Suburb","additional_partner_field2":"East London East London"}}</v>
      </c>
    </row>
    <row r="85" spans="1:16" ht="54" customHeight="1" x14ac:dyDescent="0.3">
      <c r="A85" s="1">
        <v>87</v>
      </c>
      <c r="B85" s="4" t="s">
        <v>48</v>
      </c>
      <c r="C85" s="5" t="s">
        <v>434</v>
      </c>
      <c r="D85" s="6" t="s">
        <v>611</v>
      </c>
      <c r="E85" s="10" t="s">
        <v>7</v>
      </c>
      <c r="F85" s="8" t="s">
        <v>435</v>
      </c>
      <c r="G85" s="9" t="s">
        <v>436</v>
      </c>
      <c r="H85" s="11" t="s">
        <v>437</v>
      </c>
      <c r="I85" s="1" t="str">
        <f t="shared" si="6"/>
        <v>0692681461</v>
      </c>
      <c r="J85" s="1" t="s">
        <v>684</v>
      </c>
      <c r="K85" s="1">
        <f t="shared" si="7"/>
        <v>50</v>
      </c>
      <c r="L85" s="12">
        <f t="shared" si="8"/>
        <v>115</v>
      </c>
      <c r="M85" s="1" t="str">
        <f t="shared" si="9"/>
        <v>"method":"createLead","external_system_uid":"B2C - 9PointPlanWA","external_source_id":"</v>
      </c>
      <c r="N85" s="1" t="str">
        <f t="shared" si="10"/>
        <v>","name":"Mike (1-ton Bakkie with driver)","phone":"0692681461","lead_in_date":"22-March-2026 18:14:31","instance_uid":"793c83c2-f829-464c-ad82-a157cf85bf34","campaign_uid":"af7b2cbb-29a4-446b-b4fd-0199a060d9ad","email":"N/A","remark_message":"Source: Gumtree - Removals (requested 2026-03-19) Single bakkie operation for local removals.. Motivation: Tracking provides the essential location data needed for small businesses to optimize their daily job schedules.. Context: Services all areas in Durban.","meta":{"additional_partner_field1":"Suburb","additional_partner_field2":"Queensburgh Durban"}}</v>
      </c>
      <c r="O85" s="1" t="str">
        <f t="shared" si="11"/>
        <v>{"token":"611d6f1a-04a1-42eb-889f-c3ff8a29bf45","method":"createLead","external_system_uid":"B2C - 9PointPlanWA","external_source_id":"87","name":"Mike (1-ton Bakkie with driver)","phone":"0692681461","lead_in_date":"22-March-2026 18:14:31","instance_uid":"793c83c2-f829-464c-ad82-a157cf85bf34","campaign_uid":"af7b2cbb-29a4-446b-b4fd-0199a060d9ad","email":"N/A","remark_message":"Source: Gumtree - Removals (requested 2026-03-19) Single bakkie operation for local removals.. Motivation: Tracking provides the essential location data needed for small businesses to optimize their daily job schedules.. Context: Services all areas in Durban.","meta":{"additional_partner_field1":"Suburb","additional_partner_field2":"Queensburgh Durban"}}</v>
      </c>
      <c r="P85" s="1" t="s">
        <v>692</v>
      </c>
    </row>
    <row r="86" spans="1:16" ht="54" customHeight="1" x14ac:dyDescent="0.3">
      <c r="A86" s="1">
        <v>88</v>
      </c>
      <c r="B86" s="4" t="s">
        <v>438</v>
      </c>
      <c r="C86" s="5" t="s">
        <v>439</v>
      </c>
      <c r="D86" s="6" t="s">
        <v>596</v>
      </c>
      <c r="E86" s="10" t="s">
        <v>7</v>
      </c>
      <c r="F86" s="8" t="s">
        <v>440</v>
      </c>
      <c r="G86" s="9" t="s">
        <v>441</v>
      </c>
      <c r="H86" s="11" t="s">
        <v>442</v>
      </c>
      <c r="I86" s="1" t="str">
        <f t="shared" si="6"/>
        <v>0746112704</v>
      </c>
      <c r="J86" s="1" t="s">
        <v>684</v>
      </c>
      <c r="K86" s="1">
        <f t="shared" si="7"/>
        <v>50</v>
      </c>
      <c r="L86" s="12">
        <f t="shared" si="8"/>
        <v>115</v>
      </c>
      <c r="M86" s="1" t="str">
        <f t="shared" si="9"/>
        <v>"method":"createLead","external_system_uid":"B2C - 9PointPlanWA","external_source_id":"</v>
      </c>
      <c r="N86" s="1" t="str">
        <f t="shared" si="10"/>
        <v>","name":"Denise ( Kokstad Removals)","phone":"0746112704","lead_in_date":"22-March-2026 18:14:31","instance_uid":"793c83c2-f829-464c-ad82-a157cf85bf34","campaign_uid":"af7b2cbb-29a4-446b-b4fd-0199a060d9ad","email":"N/A","remark_message":"Source: Gumtree - Logistics (requested 2026-02-20) Small business delivering to Kokstad and Mthatha.. Motivation: Operating in deep rural areas of KZN and EC means roadside assistance via a tracking partner is a safety critical requirement.. Context: Durban based travel service.","meta":{"additional_partner_field1":"Suburb","additional_partner_field2":"Kokstad Kokstad"}}</v>
      </c>
      <c r="O86" s="1" t="str">
        <f t="shared" si="11"/>
        <v>{"token":"611d6f1a-04a1-42eb-889f-c3ff8a29bf45","method":"createLead","external_system_uid":"B2C - 9PointPlanWA","external_source_id":"88","name":"Denise ( Kokstad Removals)","phone":"0746112704","lead_in_date":"22-March-2026 18:14:31","instance_uid":"793c83c2-f829-464c-ad82-a157cf85bf34","campaign_uid":"af7b2cbb-29a4-446b-b4fd-0199a060d9ad","email":"N/A","remark_message":"Source: Gumtree - Logistics (requested 2026-02-20) Small business delivering to Kokstad and Mthatha.. Motivation: Operating in deep rural areas of KZN and EC means roadside assistance via a tracking partner is a safety critical requirement.. Context: Durban based travel service.","meta":{"additional_partner_field1":"Suburb","additional_partner_field2":"Kokstad Kokstad"}}</v>
      </c>
      <c r="P86" s="1" t="s">
        <v>692</v>
      </c>
    </row>
    <row r="87" spans="1:16" ht="54" customHeight="1" x14ac:dyDescent="0.3">
      <c r="A87" s="1">
        <v>89</v>
      </c>
      <c r="B87" s="4" t="s">
        <v>43</v>
      </c>
      <c r="C87" s="5" t="s">
        <v>443</v>
      </c>
      <c r="D87" s="6" t="s">
        <v>656</v>
      </c>
      <c r="E87" s="10" t="s">
        <v>7</v>
      </c>
      <c r="F87" s="8" t="s">
        <v>444</v>
      </c>
      <c r="G87" s="9" t="s">
        <v>445</v>
      </c>
      <c r="H87" s="11" t="s">
        <v>446</v>
      </c>
      <c r="I87" s="1" t="str">
        <f t="shared" si="6"/>
        <v>0753551258</v>
      </c>
      <c r="J87" s="1" t="s">
        <v>684</v>
      </c>
      <c r="K87" s="1">
        <f t="shared" si="7"/>
        <v>50</v>
      </c>
      <c r="L87" s="12">
        <f t="shared" si="8"/>
        <v>115</v>
      </c>
      <c r="M87" s="1" t="str">
        <f t="shared" si="9"/>
        <v>"method":"createLead","external_system_uid":"B2C - 9PointPlanWA","external_source_id":"</v>
      </c>
      <c r="N87" s="1" t="str">
        <f t="shared" si="10"/>
        <v>","name":"Syabonga (Pretoria Removals)","phone":"0753551258","lead_in_date":"22-March-2026 18:14:31","instance_uid":"793c83c2-f829-464c-ad82-a157cf85bf34","campaign_uid":"af7b2cbb-29a4-446b-b4fd-0199a060d9ad","email":"N/A","remark_message":"Source: Gumtree - Bakkie Hire (requested 2026-03-22) Active removal service in Pretoria East.. Motivation: A tracker allows you to manage multiple loads a day by knowing exactly when a driver has finished a drop-off.. Context: Services households and offices.","meta":{"additional_partner_field1":"Suburb","additional_partner_field2":"East Lynn Pretoria"}}</v>
      </c>
      <c r="O87" s="1" t="str">
        <f t="shared" si="11"/>
        <v>{"token":"611d6f1a-04a1-42eb-889f-c3ff8a29bf45","method":"createLead","external_system_uid":"B2C - 9PointPlanWA","external_source_id":"89","name":"Syabonga (Pretoria Removals)","phone":"0753551258","lead_in_date":"22-March-2026 18:14:31","instance_uid":"793c83c2-f829-464c-ad82-a157cf85bf34","campaign_uid":"af7b2cbb-29a4-446b-b4fd-0199a060d9ad","email":"N/A","remark_message":"Source: Gumtree - Bakkie Hire (requested 2026-03-22) Active removal service in Pretoria East.. Motivation: A tracker allows you to manage multiple loads a day by knowing exactly when a driver has finished a drop-off.. Context: Services households and offices.","meta":{"additional_partner_field1":"Suburb","additional_partner_field2":"East Lynn Pretoria"}}</v>
      </c>
      <c r="P87" s="1" t="s">
        <v>692</v>
      </c>
    </row>
    <row r="88" spans="1:16" ht="54" hidden="1" customHeight="1" x14ac:dyDescent="0.3">
      <c r="A88" s="1">
        <v>90</v>
      </c>
      <c r="B88" s="4" t="s">
        <v>447</v>
      </c>
      <c r="C88" s="5" t="s">
        <v>448</v>
      </c>
      <c r="D88" s="6" t="s">
        <v>659</v>
      </c>
      <c r="E88" s="10" t="s">
        <v>7</v>
      </c>
      <c r="F88" s="8" t="s">
        <v>449</v>
      </c>
      <c r="G88" s="9" t="s">
        <v>450</v>
      </c>
      <c r="H88" s="11" t="s">
        <v>451</v>
      </c>
      <c r="I88" s="1" t="str">
        <f t="shared" si="6"/>
        <v>0824583723</v>
      </c>
      <c r="J88" s="1" t="s">
        <v>684</v>
      </c>
      <c r="K88" s="1">
        <f t="shared" si="7"/>
        <v>50</v>
      </c>
      <c r="L88" s="12">
        <f t="shared" si="8"/>
        <v>115</v>
      </c>
      <c r="M88" s="1" t="str">
        <f t="shared" si="9"/>
        <v>"method":"createLead","external_system_uid":"B2C - 9PointPlanWA","external_source_id":"</v>
      </c>
      <c r="N88" s="1" t="str">
        <f t="shared" si="10"/>
        <v>","name":"SPH Transport Services","phone":"0824583723","lead_in_date":"22-March-2026 18:14:31","instance_uid":"793c83c2-f829-464c-ad82-a157cf85bf34","campaign_uid":"af7b2cbb-29a4-446b-b4fd-0199a060d9ad","email":"N/A","remark_message":"Source: Google - Refrigerated Transport (requested 2026-02-15) Small logistics firm specializing in refrigerated delivery.. Motivation: Refrigerated loads are time-sensitive; a tracker monitors both location and potential delays to protect the cold chain.. Context: Fleet of 30 MAN trucks.","meta":{"additional_partner_field1":"Suburb","additional_partner_field2":"Rivergate Cape Town"}}</v>
      </c>
      <c r="O88" s="1" t="str">
        <f t="shared" si="11"/>
        <v>{"token":"611d6f1a-04a1-42eb-889f-c3ff8a29bf45","method":"createLead","external_system_uid":"B2C - 9PointPlanWA","external_source_id":"90","name":"SPH Transport Services","phone":"0824583723","lead_in_date":"22-March-2026 18:14:31","instance_uid":"793c83c2-f829-464c-ad82-a157cf85bf34","campaign_uid":"af7b2cbb-29a4-446b-b4fd-0199a060d9ad","email":"N/A","remark_message":"Source: Google - Refrigerated Transport (requested 2026-02-15) Small logistics firm specializing in refrigerated delivery.. Motivation: Refrigerated loads are time-sensitive; a tracker monitors both location and potential delays to protect the cold chain.. Context: Fleet of 30 MAN trucks.","meta":{"additional_partner_field1":"Suburb","additional_partner_field2":"Rivergate Cape Town"}}</v>
      </c>
    </row>
    <row r="89" spans="1:16" ht="54" hidden="1" customHeight="1" x14ac:dyDescent="0.3">
      <c r="A89" s="1">
        <v>91</v>
      </c>
      <c r="B89" s="4" t="s">
        <v>23</v>
      </c>
      <c r="C89" s="5" t="s">
        <v>452</v>
      </c>
      <c r="D89" s="6" t="s">
        <v>592</v>
      </c>
      <c r="E89" s="7" t="s">
        <v>25</v>
      </c>
      <c r="F89" s="8" t="s">
        <v>453</v>
      </c>
      <c r="G89" s="9" t="s">
        <v>454</v>
      </c>
      <c r="H89" s="11" t="s">
        <v>455</v>
      </c>
      <c r="I89" s="1" t="str">
        <f t="shared" si="6"/>
        <v>0824391871</v>
      </c>
      <c r="J89" s="1" t="s">
        <v>684</v>
      </c>
      <c r="K89" s="1">
        <f t="shared" si="7"/>
        <v>50</v>
      </c>
      <c r="L89" s="12">
        <f t="shared" si="8"/>
        <v>115</v>
      </c>
      <c r="M89" s="1" t="str">
        <f t="shared" si="9"/>
        <v>"method":"createLead","external_system_uid":"B2C - 9PointPlanWA","external_source_id":"</v>
      </c>
      <c r="N89" s="1" t="str">
        <f t="shared" si="10"/>
        <v>","name":"Marshall Plumbing Team","phone":"0824391871","lead_in_date":"22-March-2026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Lead for a small owner-operated plumbing business.. Motivation: Tracking protects the specialized leak detection equipment on board, which is often worth more than the vehicle itself.. Context: Table View local plumber.","meta":{"additional_partner_field1":"Suburb","additional_partner_field2":"Table View Cape Town"}}</v>
      </c>
      <c r="O89" s="1" t="str">
        <f t="shared" si="11"/>
        <v>{"token":"611d6f1a-04a1-42eb-889f-c3ff8a29bf45","method":"createLead","external_system_uid":"B2C - 9PointPlanWA","external_source_id":"91","name":"Marshall Plumbing Team","phone":"0824391871","lead_in_date":"22-March-2026 18:14:31","instance_uid":"793c83c2-f829-464c-ad82-a157cf85bf34","campaign_uid":"af7b2cbb-29a4-446b-b4fd-0199a060d9ad","email":"marshallplumbingcapetown@gmail.com","remark_message":"Source: Google - Plumber (requested 2026-03-18) Lead for a small owner-operated plumbing business.. Motivation: Tracking protects the specialized leak detection equipment on board, which is often worth more than the vehicle itself.. Context: Table View local plumber.","meta":{"additional_partner_field1":"Suburb","additional_partner_field2":"Table View Cape Town"}}</v>
      </c>
    </row>
    <row r="90" spans="1:16" ht="54" hidden="1" customHeight="1" x14ac:dyDescent="0.3">
      <c r="A90" s="1">
        <v>92</v>
      </c>
      <c r="B90" s="4" t="s">
        <v>456</v>
      </c>
      <c r="C90" s="5" t="s">
        <v>457</v>
      </c>
      <c r="D90" s="6" t="s">
        <v>614</v>
      </c>
      <c r="E90" s="7" t="s">
        <v>139</v>
      </c>
      <c r="F90" s="8" t="s">
        <v>458</v>
      </c>
      <c r="G90" s="9" t="s">
        <v>459</v>
      </c>
      <c r="H90" s="11" t="s">
        <v>460</v>
      </c>
      <c r="I90" s="1" t="str">
        <f t="shared" si="6"/>
        <v>0712460127</v>
      </c>
      <c r="J90" s="1" t="s">
        <v>684</v>
      </c>
      <c r="K90" s="1">
        <f t="shared" si="7"/>
        <v>50</v>
      </c>
      <c r="L90" s="12">
        <f t="shared" si="8"/>
        <v>115</v>
      </c>
      <c r="M90" s="1" t="str">
        <f t="shared" si="9"/>
        <v>"method":"createLead","external_system_uid":"B2C - 9PointPlanWA","external_source_id":"</v>
      </c>
      <c r="N90" s="1" t="str">
        <f t="shared" si="10"/>
        <v>","name":"Pirate Plumbing Team","phone":"0712460127","lead_in_date":"22-March-2026 18:14:31","instance_uid":"793c83c2-f829-464c-ad82-a157cf85bf34","campaign_uid":"af7b2cbb-29a4-446b-b4fd-0199a060d9ad","email":"Info@pirateplumbing.co.za","remark_message":"Source: Google - Emergency Plumbing (requested 2026-03-01) Professional plumbers in the Cape Peninsula.. Motivation: 24/7 service means teams are out at all hours; a tracker ensures the head office can see that every plumber reaches their destination safely.. Context: Covers all suburbs in Cape Town.","meta":{"additional_partner_field1":"Suburb","additional_partner_field2":"Panorama Cape Town"}}</v>
      </c>
      <c r="O90" s="1" t="str">
        <f t="shared" si="11"/>
        <v>{"token":"611d6f1a-04a1-42eb-889f-c3ff8a29bf45","method":"createLead","external_system_uid":"B2C - 9PointPlanWA","external_source_id":"92","name":"Pirate Plumbing Team","phone":"0712460127","lead_in_date":"22-March-2026 18:14:31","instance_uid":"793c83c2-f829-464c-ad82-a157cf85bf34","campaign_uid":"af7b2cbb-29a4-446b-b4fd-0199a060d9ad","email":"Info@pirateplumbing.co.za","remark_message":"Source: Google - Emergency Plumbing (requested 2026-03-01) Professional plumbers in the Cape Peninsula.. Motivation: 24/7 service means teams are out at all hours; a tracker ensures the head office can see that every plumber reaches their destination safely.. Context: Covers all suburbs in Cape Town.","meta":{"additional_partner_field1":"Suburb","additional_partner_field2":"Panorama Cape Town"}}</v>
      </c>
    </row>
    <row r="91" spans="1:16" ht="54" hidden="1" customHeight="1" x14ac:dyDescent="0.3">
      <c r="A91" s="1">
        <v>93</v>
      </c>
      <c r="B91" s="4" t="s">
        <v>461</v>
      </c>
      <c r="C91" s="5" t="s">
        <v>462</v>
      </c>
      <c r="D91" s="6" t="s">
        <v>660</v>
      </c>
      <c r="E91" s="7" t="s">
        <v>144</v>
      </c>
      <c r="F91" s="8" t="s">
        <v>463</v>
      </c>
      <c r="G91" s="9" t="s">
        <v>464</v>
      </c>
      <c r="H91" s="11" t="s">
        <v>465</v>
      </c>
      <c r="I91" s="1" t="str">
        <f t="shared" si="6"/>
        <v>0219870160</v>
      </c>
      <c r="J91" s="1" t="s">
        <v>684</v>
      </c>
      <c r="K91" s="1">
        <f t="shared" si="7"/>
        <v>50</v>
      </c>
      <c r="L91" s="12">
        <f t="shared" si="8"/>
        <v>115</v>
      </c>
      <c r="M91" s="1" t="str">
        <f t="shared" si="9"/>
        <v>"method":"createLead","external_system_uid":"B2C - 9PointPlanWA","external_source_id":"</v>
      </c>
      <c r="N91" s="1" t="str">
        <f t="shared" si="10"/>
        <v>","name":"HB Plumbing Services","phone":"0219870160","lead_in_date":"22-March-2026 18:14:31","instance_uid":"793c83c2-f829-464c-ad82-a157cf85bf34","campaign_uid":"af7b2cbb-29a4-446b-b4fd-0199a060d9ad","email":"info@hbplumbing.co.za","remark_message":"Source: Google - Northern Suburbs Plumber (requested 2026-03-10) Accredited plumbing firm for home maintenance.. Motivation: Tracking prevents vehicle misuse for unauthorized 'side jobs' by employees, protecting the company's fuel and reputation.. Context: Institute of Plumbing South Africa member.","meta":{"additional_partner_field1":"Suburb","additional_partner_field2":"Bellville Cape Town"}}</v>
      </c>
      <c r="O91" s="1" t="str">
        <f t="shared" si="11"/>
        <v>{"token":"611d6f1a-04a1-42eb-889f-c3ff8a29bf45","method":"createLead","external_system_uid":"B2C - 9PointPlanWA","external_source_id":"93","name":"HB Plumbing Services","phone":"0219870160","lead_in_date":"22-March-2026 18:14:31","instance_uid":"793c83c2-f829-464c-ad82-a157cf85bf34","campaign_uid":"af7b2cbb-29a4-446b-b4fd-0199a060d9ad","email":"info@hbplumbing.co.za","remark_message":"Source: Google - Northern Suburbs Plumber (requested 2026-03-10) Accredited plumbing firm for home maintenance.. Motivation: Tracking prevents vehicle misuse for unauthorized 'side jobs' by employees, protecting the company's fuel and reputation.. Context: Institute of Plumbing South Africa member.","meta":{"additional_partner_field1":"Suburb","additional_partner_field2":"Bellville Cape Town"}}</v>
      </c>
    </row>
    <row r="92" spans="1:16" ht="54" hidden="1" customHeight="1" x14ac:dyDescent="0.3">
      <c r="A92" s="1">
        <v>94</v>
      </c>
      <c r="B92" s="4" t="s">
        <v>466</v>
      </c>
      <c r="C92" s="5" t="s">
        <v>467</v>
      </c>
      <c r="D92" s="6" t="s">
        <v>661</v>
      </c>
      <c r="E92" s="10" t="s">
        <v>7</v>
      </c>
      <c r="F92" s="8" t="s">
        <v>468</v>
      </c>
      <c r="G92" s="9" t="s">
        <v>469</v>
      </c>
      <c r="H92" s="11" t="s">
        <v>470</v>
      </c>
      <c r="I92" s="1" t="str">
        <f t="shared" si="6"/>
        <v>0713192831</v>
      </c>
      <c r="J92" s="1" t="s">
        <v>684</v>
      </c>
      <c r="K92" s="1">
        <f t="shared" si="7"/>
        <v>50</v>
      </c>
      <c r="L92" s="12">
        <f t="shared" si="8"/>
        <v>115</v>
      </c>
      <c r="M92" s="1" t="str">
        <f t="shared" si="9"/>
        <v>"method":"createLead","external_system_uid":"B2C - 9PointPlanWA","external_source_id":"</v>
      </c>
      <c r="N92" s="1" t="str">
        <f t="shared" si="10"/>
        <v>","name":"Handyman Homes Plumber","phone":"0713192831","lead_in_date":"22-March-2026 18:14:31","instance_uid":"793c83c2-f829-464c-ad82-a157cf85bf34","campaign_uid":"af7b2cbb-29a4-446b-b4fd-0199a060d9ad","email":"N/A","remark_message":"Source: Google - Handyman Services (requested 2026-03-15) Urgent plumbing and home fix service.. Motivation: Service vehicles are frequently targeted in the City Bowl area; a recovery-focused tracker is the best investment for the owner.. Context: Professional tradesmen in Cape Town.","meta":{"additional_partner_field1":"Suburb","additional_partner_field2":"City Bowl Cape Town"}}</v>
      </c>
      <c r="O92" s="1" t="str">
        <f t="shared" si="11"/>
        <v>{"token":"611d6f1a-04a1-42eb-889f-c3ff8a29bf45","method":"createLead","external_system_uid":"B2C - 9PointPlanWA","external_source_id":"94","name":"Handyman Homes Plumber","phone":"0713192831","lead_in_date":"22-March-2026 18:14:31","instance_uid":"793c83c2-f829-464c-ad82-a157cf85bf34","campaign_uid":"af7b2cbb-29a4-446b-b4fd-0199a060d9ad","email":"N/A","remark_message":"Source: Google - Handyman Services (requested 2026-03-15) Urgent plumbing and home fix service.. Motivation: Service vehicles are frequently targeted in the City Bowl area; a recovery-focused tracker is the best investment for the owner.. Context: Professional tradesmen in Cape Town.","meta":{"additional_partner_field1":"Suburb","additional_partner_field2":"City Bowl Cape Town"}}</v>
      </c>
    </row>
    <row r="93" spans="1:16" ht="54" customHeight="1" x14ac:dyDescent="0.3">
      <c r="A93" s="1">
        <v>95</v>
      </c>
      <c r="B93" s="4" t="s">
        <v>74</v>
      </c>
      <c r="C93" s="5" t="s">
        <v>471</v>
      </c>
      <c r="D93" s="6" t="s">
        <v>662</v>
      </c>
      <c r="E93" s="7" t="s">
        <v>160</v>
      </c>
      <c r="F93" s="8" t="s">
        <v>472</v>
      </c>
      <c r="G93" s="9" t="s">
        <v>473</v>
      </c>
      <c r="H93" s="11" t="s">
        <v>474</v>
      </c>
      <c r="I93" s="1" t="str">
        <f t="shared" si="6"/>
        <v>0325339222</v>
      </c>
      <c r="J93" s="1" t="s">
        <v>684</v>
      </c>
      <c r="K93" s="1">
        <f t="shared" si="7"/>
        <v>50</v>
      </c>
      <c r="L93" s="12">
        <f t="shared" si="8"/>
        <v>115</v>
      </c>
      <c r="M93" s="1" t="str">
        <f t="shared" si="9"/>
        <v>"method":"createLead","external_system_uid":"B2C - 9PointPlanWA","external_source_id":"</v>
      </c>
      <c r="N93" s="1" t="str">
        <f t="shared" si="10"/>
        <v>","name":"Khulanathi Industrial Electrical","phone":"0325339222","lead_in_date":"22-March-2026 18:14:31","instance_uid":"793c83c2-f829-464c-ad82-a157cf85bf34","campaign_uid":"af7b2cbb-29a4-446b-b4fd-0199a060d9ad","email":"info@khulanathielectrical.co.za","remark_message":"Source: Google - Electrical Contractor (requested 2026-03-12) SME serving industrial and factory sites.. Motivation: Industrial park security often requires pre-cleared vehicles with active GPS tracking for access.. Context: Master Electrician led company.","meta":{"additional_partner_field1":"Suburb","additional_partner_field2":"Durban Durban"}}</v>
      </c>
      <c r="O93" s="1" t="str">
        <f t="shared" si="11"/>
        <v>{"token":"611d6f1a-04a1-42eb-889f-c3ff8a29bf45","method":"createLead","external_system_uid":"B2C - 9PointPlanWA","external_source_id":"95","name":"Khulanathi Industrial Electrical","phone":"0325339222","lead_in_date":"22-March-2026 18:14:31","instance_uid":"793c83c2-f829-464c-ad82-a157cf85bf34","campaign_uid":"af7b2cbb-29a4-446b-b4fd-0199a060d9ad","email":"info@khulanathielectrical.co.za","remark_message":"Source: Google - Electrical Contractor (requested 2026-03-12) SME serving industrial and factory sites.. Motivation: Industrial park security often requires pre-cleared vehicles with active GPS tracking for access.. Context: Master Electrician led company.","meta":{"additional_partner_field1":"Suburb","additional_partner_field2":"Durban Durban"}}</v>
      </c>
      <c r="P93" s="1" t="s">
        <v>692</v>
      </c>
    </row>
    <row r="94" spans="1:16" ht="54" hidden="1" customHeight="1" x14ac:dyDescent="0.3">
      <c r="A94" s="1">
        <v>96</v>
      </c>
      <c r="B94" s="4" t="s">
        <v>475</v>
      </c>
      <c r="C94" s="5" t="s">
        <v>476</v>
      </c>
      <c r="D94" s="6" t="s">
        <v>591</v>
      </c>
      <c r="E94" s="7" t="s">
        <v>19</v>
      </c>
      <c r="F94" s="8" t="s">
        <v>477</v>
      </c>
      <c r="G94" s="9" t="s">
        <v>478</v>
      </c>
      <c r="H94" s="11" t="s">
        <v>479</v>
      </c>
      <c r="I94" s="1" t="str">
        <f t="shared" si="6"/>
        <v>0718774843</v>
      </c>
      <c r="J94" s="1" t="s">
        <v>684</v>
      </c>
      <c r="K94" s="1">
        <f t="shared" si="7"/>
        <v>50</v>
      </c>
      <c r="L94" s="12">
        <f t="shared" si="8"/>
        <v>115</v>
      </c>
      <c r="M94" s="1" t="str">
        <f t="shared" si="9"/>
        <v>"method":"createLead","external_system_uid":"B2C - 9PointPlanWA","external_source_id":"</v>
      </c>
      <c r="N94" s="1" t="str">
        <f t="shared" si="10"/>
        <v>","name":"Blue Cord Nine Team (Ralph/Shane)","phone":"0718774843","lead_in_date":"22-March-2026 18:14:31","instance_uid":"793c83c2-f829-464c-ad82-a157cf85bf34","campaign_uid":"af7b2cbb-29a4-446b-b4fd-0199a060d9ad","email":"info@bluecordnine.co.za","remark_message":"Source: Google - Durban Electrician (requested 2026-03-12) Small business focused on solar and backup power.. Motivation: Solar components in transit are high-risk cargo; trackers in the transport vans help secure the entire project supply chain.. Context: Provides testing and COCs.","meta":{"additional_partner_field1":"Suburb","additional_partner_field2":"Durban Durban"}}</v>
      </c>
      <c r="O94" s="1" t="str">
        <f t="shared" si="11"/>
        <v>{"token":"611d6f1a-04a1-42eb-889f-c3ff8a29bf45","method":"createLead","external_system_uid":"B2C - 9PointPlanWA","external_source_id":"96","name":"Blue Cord Nine Team (Ralph/Shane)","phone":"0718774843","lead_in_date":"22-March-2026 18:14:31","instance_uid":"793c83c2-f829-464c-ad82-a157cf85bf34","campaign_uid":"af7b2cbb-29a4-446b-b4fd-0199a060d9ad","email":"info@bluecordnine.co.za","remark_message":"Source: Google - Durban Electrician (requested 2026-03-12) Small business focused on solar and backup power.. Motivation: Solar components in transit are high-risk cargo; trackers in the transport vans help secure the entire project supply chain.. Context: Provides testing and COCs.","meta":{"additional_partner_field1":"Suburb","additional_partner_field2":"Durban Durban"}}</v>
      </c>
    </row>
    <row r="95" spans="1:16" ht="54" hidden="1" customHeight="1" x14ac:dyDescent="0.3">
      <c r="A95" s="1">
        <v>97</v>
      </c>
      <c r="B95" s="4" t="s">
        <v>480</v>
      </c>
      <c r="C95" s="5" t="s">
        <v>481</v>
      </c>
      <c r="D95" s="6" t="s">
        <v>619</v>
      </c>
      <c r="E95" s="10" t="s">
        <v>7</v>
      </c>
      <c r="F95" s="8" t="s">
        <v>482</v>
      </c>
      <c r="G95" s="9" t="s">
        <v>483</v>
      </c>
      <c r="H95" s="11" t="s">
        <v>484</v>
      </c>
      <c r="I95" s="1" t="str">
        <f t="shared" si="6"/>
        <v>0824500435</v>
      </c>
      <c r="J95" s="1" t="s">
        <v>684</v>
      </c>
      <c r="K95" s="1">
        <f t="shared" si="7"/>
        <v>50</v>
      </c>
      <c r="L95" s="12">
        <f t="shared" si="8"/>
        <v>115</v>
      </c>
      <c r="M95" s="1" t="str">
        <f t="shared" si="9"/>
        <v>"method":"createLead","external_system_uid":"B2C - 9PointPlanWA","external_source_id":"</v>
      </c>
      <c r="N95" s="1" t="str">
        <f t="shared" si="10"/>
        <v>","name":"Laatz Electrical Emergency Team","phone":"0824500435","lead_in_date":"22-March-2026 18:14:31","instance_uid":"793c83c2-f829-464c-ad82-a157cf85bf34","campaign_uid":"af7b2cbb-29a4-446b-b4fd-0199a060d9ad","email":"N/A","remark_message":"Source: Google - KZN Electrician (requested 2026-02-14) Electricians providing 24/7 emergency repair.. Motivation: Emergency vehicles are out when the streets are most dangerous; a tracker with a mobile app keeps the owner connected to his team.. Context: Trustworthy and hardworking reputation.","meta":{"additional_partner_field1":"Suburb","additional_partner_field2":"Durban Durban"}}</v>
      </c>
      <c r="O95" s="1" t="str">
        <f t="shared" si="11"/>
        <v>{"token":"611d6f1a-04a1-42eb-889f-c3ff8a29bf45","method":"createLead","external_system_uid":"B2C - 9PointPlanWA","external_source_id":"97","name":"Laatz Electrical Emergency Team","phone":"0824500435","lead_in_date":"22-March-2026 18:14:31","instance_uid":"793c83c2-f829-464c-ad82-a157cf85bf34","campaign_uid":"af7b2cbb-29a4-446b-b4fd-0199a060d9ad","email":"N/A","remark_message":"Source: Google - KZN Electrician (requested 2026-02-14) Electricians providing 24/7 emergency repair.. Motivation: Emergency vehicles are out when the streets are most dangerous; a tracker with a mobile app keeps the owner connected to his team.. Context: Trustworthy and hardworking reputation.","meta":{"additional_partner_field1":"Suburb","additional_partner_field2":"Durban Durban"}}</v>
      </c>
    </row>
    <row r="96" spans="1:16" ht="54" hidden="1" customHeight="1" x14ac:dyDescent="0.3">
      <c r="A96" s="1">
        <v>98</v>
      </c>
      <c r="B96" s="4" t="s">
        <v>485</v>
      </c>
      <c r="C96" s="5" t="s">
        <v>486</v>
      </c>
      <c r="D96" s="6" t="s">
        <v>663</v>
      </c>
      <c r="E96" s="7" t="s">
        <v>55</v>
      </c>
      <c r="F96" s="8" t="s">
        <v>487</v>
      </c>
      <c r="G96" s="9" t="s">
        <v>488</v>
      </c>
      <c r="H96" s="11" t="s">
        <v>489</v>
      </c>
      <c r="I96" s="1" t="str">
        <f t="shared" si="6"/>
        <v>0764500116</v>
      </c>
      <c r="J96" s="1" t="s">
        <v>684</v>
      </c>
      <c r="K96" s="1">
        <f t="shared" si="7"/>
        <v>50</v>
      </c>
      <c r="L96" s="12">
        <f t="shared" si="8"/>
        <v>115</v>
      </c>
      <c r="M96" s="1" t="str">
        <f t="shared" si="9"/>
        <v>"method":"createLead","external_system_uid":"B2C - 9PointPlanWA","external_source_id":"</v>
      </c>
      <c r="N96" s="1" t="str">
        <f t="shared" si="10"/>
        <v>","name":"GlowGo Strand Headquarters","phone":"0764500116","lead_in_date":"22-March-2026 18:14:31","instance_uid":"793c83c2-f829-464c-ad82-a157cf85bf34","campaign_uid":"af7b2cbb-29a4-446b-b4fd-0199a060d9ad","email":"info@glowgomobilecarwash.co.za","remark_message":"Source: Google - Mobile Car Wash (requested 2026-03-12) Mobile detailing company in the Western Cape.. Motivation: Manage scheduling for multiple mobile trolleys across Strand and Somerset West with asset tracking software.. Context: Water-saving, eco-friendly car care.","meta":{"additional_partner_field1":"Suburb","additional_partner_field2":"Strand Cape Town"}}</v>
      </c>
      <c r="O96" s="1" t="str">
        <f t="shared" si="11"/>
        <v>{"token":"611d6f1a-04a1-42eb-889f-c3ff8a29bf45","method":"createLead","external_system_uid":"B2C - 9PointPlanWA","external_source_id":"98","name":"GlowGo Strand Headquarters","phone":"0764500116","lead_in_date":"22-March-2026 18:14:31","instance_uid":"793c83c2-f829-464c-ad82-a157cf85bf34","campaign_uid":"af7b2cbb-29a4-446b-b4fd-0199a060d9ad","email":"info@glowgomobilecarwash.co.za","remark_message":"Source: Google - Mobile Car Wash (requested 2026-03-12) Mobile detailing company in the Western Cape.. Motivation: Manage scheduling for multiple mobile trolleys across Strand and Somerset West with asset tracking software.. Context: Water-saving, eco-friendly car care.","meta":{"additional_partner_field1":"Suburb","additional_partner_field2":"Strand Cape Town"}}</v>
      </c>
    </row>
    <row r="97" spans="1:16" ht="54" hidden="1" customHeight="1" x14ac:dyDescent="0.3">
      <c r="A97" s="1">
        <v>99</v>
      </c>
      <c r="B97" s="4" t="s">
        <v>490</v>
      </c>
      <c r="C97" s="5" t="s">
        <v>491</v>
      </c>
      <c r="D97" s="6" t="s">
        <v>664</v>
      </c>
      <c r="E97" s="10" t="s">
        <v>7</v>
      </c>
      <c r="F97" s="8" t="s">
        <v>492</v>
      </c>
      <c r="G97" s="9" t="s">
        <v>493</v>
      </c>
      <c r="H97" s="11" t="s">
        <v>494</v>
      </c>
      <c r="I97" s="1" t="str">
        <f t="shared" si="6"/>
        <v>0813780420</v>
      </c>
      <c r="J97" s="1" t="s">
        <v>684</v>
      </c>
      <c r="K97" s="1">
        <f t="shared" si="7"/>
        <v>50</v>
      </c>
      <c r="L97" s="12">
        <f t="shared" si="8"/>
        <v>115</v>
      </c>
      <c r="M97" s="1" t="str">
        <f t="shared" si="9"/>
        <v>"method":"createLead","external_system_uid":"B2C - 9PointPlanWA","external_source_id":"</v>
      </c>
      <c r="N97" s="1" t="str">
        <f t="shared" si="10"/>
        <v>","name":"FoamWorx Mobile Detailing","phone":"0813780420","lead_in_date":"22-March-2026 18:14:31","instance_uid":"793c83c2-f829-464c-ad82-a157cf85bf34","campaign_uid":"af7b2cbb-29a4-446b-b4fd-0199a060d9ad","email":"N/A","remark_message":"Source: Directory - Car Wash (requested 2026-03-10) Mobile detailing by appointment.. Motivation: With detailing appointments at private homes, a tracker helps provide accurate 'I am on my way' alerts to clients.. Context: Based in Kleinmond.","meta":{"additional_partner_field1":"Suburb","additional_partner_field2":"Kleinmond Hermanus"}}</v>
      </c>
      <c r="O97" s="1" t="str">
        <f t="shared" si="11"/>
        <v>{"token":"611d6f1a-04a1-42eb-889f-c3ff8a29bf45","method":"createLead","external_system_uid":"B2C - 9PointPlanWA","external_source_id":"99","name":"FoamWorx Mobile Detailing","phone":"0813780420","lead_in_date":"22-March-2026 18:14:31","instance_uid":"793c83c2-f829-464c-ad82-a157cf85bf34","campaign_uid":"af7b2cbb-29a4-446b-b4fd-0199a060d9ad","email":"N/A","remark_message":"Source: Directory - Car Wash (requested 2026-03-10) Mobile detailing by appointment.. Motivation: With detailing appointments at private homes, a tracker helps provide accurate 'I am on my way' alerts to clients.. Context: Based in Kleinmond.","meta":{"additional_partner_field1":"Suburb","additional_partner_field2":"Kleinmond Hermanus"}}</v>
      </c>
    </row>
    <row r="98" spans="1:16" ht="54" hidden="1" customHeight="1" x14ac:dyDescent="0.3">
      <c r="A98" s="1">
        <v>100</v>
      </c>
      <c r="B98" s="4" t="s">
        <v>490</v>
      </c>
      <c r="C98" s="5" t="s">
        <v>495</v>
      </c>
      <c r="D98" s="6" t="s">
        <v>623</v>
      </c>
      <c r="E98" s="10" t="s">
        <v>7</v>
      </c>
      <c r="F98" s="8" t="s">
        <v>496</v>
      </c>
      <c r="G98" s="9" t="s">
        <v>497</v>
      </c>
      <c r="H98" s="11" t="s">
        <v>498</v>
      </c>
      <c r="I98" s="1" t="str">
        <f t="shared" si="6"/>
        <v>0699794997</v>
      </c>
      <c r="J98" s="1" t="s">
        <v>684</v>
      </c>
      <c r="K98" s="1">
        <f t="shared" si="7"/>
        <v>50</v>
      </c>
      <c r="L98" s="12">
        <f t="shared" si="8"/>
        <v>115</v>
      </c>
      <c r="M98" s="1" t="str">
        <f t="shared" si="9"/>
        <v>"method":"createLead","external_system_uid":"B2C - 9PointPlanWA","external_source_id":"</v>
      </c>
      <c r="N98" s="1" t="str">
        <f t="shared" si="10"/>
        <v>","name":"Mountainside Mobile Services","phone":"0699794997","lead_in_date":"22-March-2026 18:14:31","instance_uid":"793c83c2-f829-464c-ad82-a157cf85bf34","campaign_uid":"af7b2cbb-29a4-446b-b4fd-0199a060d9ad","email":"N/A","remark_message":"Source: Directory - Car Wash (requested 2026-03-05) Premium doorstep car wash service.. Motivation: Prevent opportunistic theft of the vehicle while the owner is busy washing cars at the back of residential properties.. Context: Premium mobile service.","meta":{"additional_partner_field1":"Suburb","additional_partner_field2":"Kleinmond Hermanus"}}</v>
      </c>
      <c r="O98" s="1" t="str">
        <f t="shared" si="11"/>
        <v>{"token":"611d6f1a-04a1-42eb-889f-c3ff8a29bf45","method":"createLead","external_system_uid":"B2C - 9PointPlanWA","external_source_id":"100","name":"Mountainside Mobile Services","phone":"0699794997","lead_in_date":"22-March-2026 18:14:31","instance_uid":"793c83c2-f829-464c-ad82-a157cf85bf34","campaign_uid":"af7b2cbb-29a4-446b-b4fd-0199a060d9ad","email":"N/A","remark_message":"Source: Directory - Car Wash (requested 2026-03-05) Premium doorstep car wash service.. Motivation: Prevent opportunistic theft of the vehicle while the owner is busy washing cars at the back of residential properties.. Context: Premium mobile service.","meta":{"additional_partner_field1":"Suburb","additional_partner_field2":"Kleinmond Hermanus"}}</v>
      </c>
    </row>
    <row r="99" spans="1:16" ht="54" hidden="1" customHeight="1" x14ac:dyDescent="0.3">
      <c r="A99" s="1">
        <v>101</v>
      </c>
      <c r="B99" s="4" t="s">
        <v>490</v>
      </c>
      <c r="C99" s="5" t="s">
        <v>499</v>
      </c>
      <c r="D99" s="6" t="s">
        <v>620</v>
      </c>
      <c r="E99" s="7" t="s">
        <v>170</v>
      </c>
      <c r="F99" s="8" t="s">
        <v>500</v>
      </c>
      <c r="G99" s="9" t="s">
        <v>501</v>
      </c>
      <c r="H99" s="11" t="s">
        <v>502</v>
      </c>
      <c r="I99" s="1" t="str">
        <f t="shared" si="6"/>
        <v>0761369136</v>
      </c>
      <c r="J99" s="1" t="s">
        <v>684</v>
      </c>
      <c r="K99" s="1">
        <f t="shared" si="7"/>
        <v>50</v>
      </c>
      <c r="L99" s="12">
        <f t="shared" si="8"/>
        <v>115</v>
      </c>
      <c r="M99" s="1" t="str">
        <f t="shared" si="9"/>
        <v>"method":"createLead","external_system_uid":"B2C - 9PointPlanWA","external_source_id":"</v>
      </c>
      <c r="N99" s="1" t="str">
        <f t="shared" si="10"/>
        <v>","name":"Gideon Steyn (Hermanus Mobile Wash)","phone":"0761369136","lead_in_date":"22-March-2026 18:14:31","instance_uid":"793c83c2-f829-464c-ad82-a157cf85bf34","campaign_uid":"af7b2cbb-29a4-446b-b4fd-0199a060d9ad","email":"gideonsteyn3@gmail.com","remark_message":"Source: Directory - Car Wash (requested 2026-03-01) Individual mobile car wash operator.. Motivation: In a one-man business, the vehicle is the single most important asset; independent tracking ensures it stays in your hands.. Context: Body wash and interior protection services.","meta":{"additional_partner_field1":"Suburb","additional_partner_field2":"Hermanus Hermanus"}}</v>
      </c>
      <c r="O99" s="1" t="str">
        <f t="shared" si="11"/>
        <v>{"token":"611d6f1a-04a1-42eb-889f-c3ff8a29bf45","method":"createLead","external_system_uid":"B2C - 9PointPlanWA","external_source_id":"101","name":"Gideon Steyn (Hermanus Mobile Wash)","phone":"0761369136","lead_in_date":"22-March-2026 18:14:31","instance_uid":"793c83c2-f829-464c-ad82-a157cf85bf34","campaign_uid":"af7b2cbb-29a4-446b-b4fd-0199a060d9ad","email":"gideonsteyn3@gmail.com","remark_message":"Source: Directory - Car Wash (requested 2026-03-01) Individual mobile car wash operator.. Motivation: In a one-man business, the vehicle is the single most important asset; independent tracking ensures it stays in your hands.. Context: Body wash and interior protection services.","meta":{"additional_partner_field1":"Suburb","additional_partner_field2":"Hermanus Hermanus"}}</v>
      </c>
    </row>
    <row r="100" spans="1:16" ht="54" hidden="1" customHeight="1" x14ac:dyDescent="0.3">
      <c r="A100" s="1">
        <v>102</v>
      </c>
      <c r="B100" s="4" t="s">
        <v>503</v>
      </c>
      <c r="C100" s="5" t="s">
        <v>504</v>
      </c>
      <c r="D100" s="6" t="s">
        <v>621</v>
      </c>
      <c r="E100" s="7" t="s">
        <v>176</v>
      </c>
      <c r="F100" s="8" t="s">
        <v>505</v>
      </c>
      <c r="G100" s="9" t="s">
        <v>506</v>
      </c>
      <c r="H100" s="11" t="s">
        <v>507</v>
      </c>
      <c r="I100" s="1" t="str">
        <f t="shared" si="6"/>
        <v>0826552265</v>
      </c>
      <c r="J100" s="1" t="s">
        <v>684</v>
      </c>
      <c r="K100" s="1">
        <f t="shared" si="7"/>
        <v>50</v>
      </c>
      <c r="L100" s="12">
        <f t="shared" si="8"/>
        <v>115</v>
      </c>
      <c r="M100" s="1" t="str">
        <f t="shared" si="9"/>
        <v>"method":"createLead","external_system_uid":"B2C - 9PointPlanWA","external_source_id":"</v>
      </c>
      <c r="N100" s="1" t="str">
        <f t="shared" si="10"/>
        <v>","name":"Team Clean Co (Holiday Management)","phone":"0826552265","lead_in_date":"22-March-2026 18:14:31","instance_uid":"793c83c2-f829-464c-ad82-a157cf85bf34","campaign_uid":"af7b2cbb-29a4-446b-b4fd-0199a060d9ad","email":"suzettemarlyn@gmail.com","remark_message":"Source: Directory - Cleaning Management (requested 2026-03-10) Management company for Airbnb and private homes.. Motivation: Managing cleaning teams across Hermanus requires proof of presence at properties, which a tracker with geofencing provides.. Context: Holiday home and regular clean services.","meta":{"additional_partner_field1":"Suburb","additional_partner_field2":"Hermanus Hermanus"}}</v>
      </c>
      <c r="O100" s="1" t="str">
        <f t="shared" si="11"/>
        <v>{"token":"611d6f1a-04a1-42eb-889f-c3ff8a29bf45","method":"createLead","external_system_uid":"B2C - 9PointPlanWA","external_source_id":"102","name":"Team Clean Co (Holiday Management)","phone":"0826552265","lead_in_date":"22-March-2026 18:14:31","instance_uid":"793c83c2-f829-464c-ad82-a157cf85bf34","campaign_uid":"af7b2cbb-29a4-446b-b4fd-0199a060d9ad","email":"suzettemarlyn@gmail.com","remark_message":"Source: Directory - Cleaning Management (requested 2026-03-10) Management company for Airbnb and private homes.. Motivation: Managing cleaning teams across Hermanus requires proof of presence at properties, which a tracker with geofencing provides.. Context: Holiday home and regular clean services.","meta":{"additional_partner_field1":"Suburb","additional_partner_field2":"Hermanus Hermanus"}}</v>
      </c>
    </row>
    <row r="101" spans="1:16" ht="54" hidden="1" customHeight="1" x14ac:dyDescent="0.3">
      <c r="A101" s="1">
        <v>103</v>
      </c>
      <c r="B101" s="4" t="s">
        <v>508</v>
      </c>
      <c r="C101" s="5" t="s">
        <v>509</v>
      </c>
      <c r="D101" s="6" t="s">
        <v>622</v>
      </c>
      <c r="E101" s="7" t="s">
        <v>181</v>
      </c>
      <c r="F101" s="8" t="s">
        <v>510</v>
      </c>
      <c r="G101" s="9" t="s">
        <v>511</v>
      </c>
      <c r="H101" s="11" t="s">
        <v>512</v>
      </c>
      <c r="I101" s="1" t="str">
        <f t="shared" si="6"/>
        <v>0738180664</v>
      </c>
      <c r="J101" s="1" t="s">
        <v>684</v>
      </c>
      <c r="K101" s="1">
        <f t="shared" si="7"/>
        <v>50</v>
      </c>
      <c r="L101" s="12">
        <f t="shared" si="8"/>
        <v>115</v>
      </c>
      <c r="M101" s="1" t="str">
        <f t="shared" si="9"/>
        <v>"method":"createLead","external_system_uid":"B2C - 9PointPlanWA","external_source_id":"</v>
      </c>
      <c r="N101" s="1" t="str">
        <f t="shared" si="10"/>
        <v>","name":"Dust-Free Homes (Betty's Bay)","phone":"0738180664","lead_in_date":"22-March-2026 18:14:31","instance_uid":"793c83c2-f829-464c-ad82-a157cf85bf34","campaign_uid":"af7b2cbb-29a4-446b-b4fd-0199a060d9ad","email":"dustfreehomes1@gmail.com","remark_message":"Source: Directory - Cleaning (requested 2026-02-28) Move-out and regular cleaning for businesses.. Motivation: Ensuring cleaning teams are efficient and vehicles are safe during 'move-out' cleans which can take many hours.. Context: Deep clean specialists.","meta":{"additional_partner_field1":"Suburb","additional_partner_field2":"Betty's Bay Hermanus"}}</v>
      </c>
      <c r="O101" s="1" t="str">
        <f t="shared" si="11"/>
        <v>{"token":"611d6f1a-04a1-42eb-889f-c3ff8a29bf45","method":"createLead","external_system_uid":"B2C - 9PointPlanWA","external_source_id":"103","name":"Dust-Free Homes (Betty's Bay)","phone":"0738180664","lead_in_date":"22-March-2026 18:14:31","instance_uid":"793c83c2-f829-464c-ad82-a157cf85bf34","campaign_uid":"af7b2cbb-29a4-446b-b4fd-0199a060d9ad","email":"dustfreehomes1@gmail.com","remark_message":"Source: Directory - Cleaning (requested 2026-02-28) Move-out and regular cleaning for businesses.. Motivation: Ensuring cleaning teams are efficient and vehicles are safe during 'move-out' cleans which can take many hours.. Context: Deep clean specialists.","meta":{"additional_partner_field1":"Suburb","additional_partner_field2":"Betty's Bay Hermanus"}}</v>
      </c>
    </row>
    <row r="102" spans="1:16" ht="54" hidden="1" customHeight="1" x14ac:dyDescent="0.3">
      <c r="A102" s="1">
        <v>104</v>
      </c>
      <c r="B102" s="4" t="s">
        <v>513</v>
      </c>
      <c r="C102" s="5" t="s">
        <v>514</v>
      </c>
      <c r="D102" s="6" t="s">
        <v>665</v>
      </c>
      <c r="E102" s="10" t="s">
        <v>7</v>
      </c>
      <c r="F102" s="8" t="s">
        <v>515</v>
      </c>
      <c r="G102" s="9" t="s">
        <v>516</v>
      </c>
      <c r="H102" s="11" t="s">
        <v>517</v>
      </c>
      <c r="I102" s="1" t="str">
        <f t="shared" si="6"/>
        <v>0662375766</v>
      </c>
      <c r="J102" s="1" t="s">
        <v>684</v>
      </c>
      <c r="K102" s="1">
        <f t="shared" si="7"/>
        <v>50</v>
      </c>
      <c r="L102" s="12">
        <f t="shared" si="8"/>
        <v>115</v>
      </c>
      <c r="M102" s="1" t="str">
        <f t="shared" si="9"/>
        <v>"method":"createLead","external_system_uid":"B2C - 9PointPlanWA","external_source_id":"</v>
      </c>
      <c r="N102" s="1" t="str">
        <f t="shared" si="10"/>
        <v>","name":"Blu Window Washing","phone":"0662375766","lead_in_date":"22-March-2026 18:14:31","instance_uid":"793c83c2-f829-464c-ad82-a157cf85bf34","campaign_uid":"af7b2cbb-29a4-446b-b4fd-0199a060d9ad","email":"N/A","remark_message":"Source: Directory - Specialist Cleaning (requested 2026-03-12) Window cleaning with pure water technology.. Motivation: Pure water technology involves expensive filtration equipment in the van; tracking the vehicle is tracking your primary capital investment.. Context: Spotless shine specialists.","meta":{"additional_partner_field1":"Suburb","additional_partner_field2":"Kleinmond Hermanus"}}</v>
      </c>
      <c r="O102" s="1" t="str">
        <f t="shared" si="11"/>
        <v>{"token":"611d6f1a-04a1-42eb-889f-c3ff8a29bf45","method":"createLead","external_system_uid":"B2C - 9PointPlanWA","external_source_id":"104","name":"Blu Window Washing","phone":"0662375766","lead_in_date":"22-March-2026 18:14:31","instance_uid":"793c83c2-f829-464c-ad82-a157cf85bf34","campaign_uid":"af7b2cbb-29a4-446b-b4fd-0199a060d9ad","email":"N/A","remark_message":"Source: Directory - Specialist Cleaning (requested 2026-03-12) Window cleaning with pure water technology.. Motivation: Pure water technology involves expensive filtration equipment in the van; tracking the vehicle is tracking your primary capital investment.. Context: Spotless shine specialists.","meta":{"additional_partner_field1":"Suburb","additional_partner_field2":"Kleinmond Hermanus"}}</v>
      </c>
    </row>
    <row r="103" spans="1:16" ht="54" hidden="1" customHeight="1" x14ac:dyDescent="0.3">
      <c r="A103" s="1">
        <v>105</v>
      </c>
      <c r="B103" s="4" t="s">
        <v>518</v>
      </c>
      <c r="C103" s="5" t="s">
        <v>519</v>
      </c>
      <c r="D103" s="6" t="s">
        <v>666</v>
      </c>
      <c r="E103" s="10" t="s">
        <v>7</v>
      </c>
      <c r="F103" s="8" t="s">
        <v>520</v>
      </c>
      <c r="G103" s="9" t="s">
        <v>521</v>
      </c>
      <c r="H103" s="11" t="s">
        <v>522</v>
      </c>
      <c r="I103" s="1" t="str">
        <f t="shared" si="6"/>
        <v>0764481294</v>
      </c>
      <c r="J103" s="1" t="s">
        <v>684</v>
      </c>
      <c r="K103" s="1">
        <f t="shared" si="7"/>
        <v>50</v>
      </c>
      <c r="L103" s="12">
        <f t="shared" si="8"/>
        <v>115</v>
      </c>
      <c r="M103" s="1" t="str">
        <f t="shared" si="9"/>
        <v>"method":"createLead","external_system_uid":"B2C - 9PointPlanWA","external_source_id":"</v>
      </c>
      <c r="N103" s="1" t="str">
        <f t="shared" si="10"/>
        <v>","name":"OUTclean Solar Panel Cleaning","phone":"0764481294","lead_in_date":"22-March-2026 18:14:31","instance_uid":"793c83c2-f829-464c-ad82-a157cf85bf34","campaign_uid":"af7b2cbb-29a4-446b-b4fd-0199a060d9ad","email":"N/A","remark_message":"Source: Directory - Outdoor Cleaning (requested 2026-03-15) Solar panel and outdoor cleaning service provider.. Motivation: Solar panel cleaners often work in exposed areas; an integrated panic button on the tracker provides essential crew safety.. Context: Based in Meerensee, Hermanus.","meta":{"additional_partner_field1":"Suburb","additional_partner_field2":"Hermanus Hermanus"}}</v>
      </c>
      <c r="O103" s="1" t="str">
        <f t="shared" si="11"/>
        <v>{"token":"611d6f1a-04a1-42eb-889f-c3ff8a29bf45","method":"createLead","external_system_uid":"B2C - 9PointPlanWA","external_source_id":"105","name":"OUTclean Solar Panel Cleaning","phone":"0764481294","lead_in_date":"22-March-2026 18:14:31","instance_uid":"793c83c2-f829-464c-ad82-a157cf85bf34","campaign_uid":"af7b2cbb-29a4-446b-b4fd-0199a060d9ad","email":"N/A","remark_message":"Source: Directory - Outdoor Cleaning (requested 2026-03-15) Solar panel and outdoor cleaning service provider.. Motivation: Solar panel cleaners often work in exposed areas; an integrated panic button on the tracker provides essential crew safety.. Context: Based in Meerensee, Hermanus.","meta":{"additional_partner_field1":"Suburb","additional_partner_field2":"Hermanus Hermanus"}}</v>
      </c>
    </row>
    <row r="104" spans="1:16" ht="54" hidden="1" customHeight="1" x14ac:dyDescent="0.3">
      <c r="A104" s="1">
        <v>106</v>
      </c>
      <c r="B104" s="4" t="s">
        <v>523</v>
      </c>
      <c r="C104" s="5" t="s">
        <v>524</v>
      </c>
      <c r="D104" s="6" t="s">
        <v>667</v>
      </c>
      <c r="E104" s="10" t="s">
        <v>7</v>
      </c>
      <c r="F104" s="8" t="s">
        <v>525</v>
      </c>
      <c r="G104" s="9" t="s">
        <v>526</v>
      </c>
      <c r="H104" s="11" t="s">
        <v>527</v>
      </c>
      <c r="I104" s="1" t="str">
        <f t="shared" si="6"/>
        <v>0828262635</v>
      </c>
      <c r="J104" s="1" t="s">
        <v>684</v>
      </c>
      <c r="K104" s="1">
        <f t="shared" si="7"/>
        <v>50</v>
      </c>
      <c r="L104" s="12">
        <f t="shared" si="8"/>
        <v>115</v>
      </c>
      <c r="M104" s="1" t="str">
        <f t="shared" si="9"/>
        <v>"method":"createLead","external_system_uid":"B2C - 9PointPlanWA","external_source_id":"</v>
      </c>
      <c r="N104" s="1" t="str">
        <f t="shared" si="10"/>
        <v>","name":"Leomar Upholstery","phone":"0828262635","lead_in_date":"22-March-2026 18:14:31","instance_uid":"793c83c2-f829-464c-ad82-a157cf85bf34","campaign_uid":"af7b2cbb-29a4-446b-b4fd-0199a060d9ad","email":"N/A","remark_message":"Source: Directory - Specialized Service (requested 2026-03-20) Small business offering specialized upholstery services.. Motivation: Pick-up and delivery of client furniture requires vehicle security to prevent loss of customer property.. Context: Hermanus based small business.","meta":{"additional_partner_field1":"Suburb","additional_partner_field2":"Hermanus Hermanus"}}</v>
      </c>
      <c r="O104" s="1" t="str">
        <f t="shared" si="11"/>
        <v>{"token":"611d6f1a-04a1-42eb-889f-c3ff8a29bf45","method":"createLead","external_system_uid":"B2C - 9PointPlanWA","external_source_id":"106","name":"Leomar Upholstery","phone":"0828262635","lead_in_date":"22-March-2026 18:14:31","instance_uid":"793c83c2-f829-464c-ad82-a157cf85bf34","campaign_uid":"af7b2cbb-29a4-446b-b4fd-0199a060d9ad","email":"N/A","remark_message":"Source: Directory - Specialized Service (requested 2026-03-20) Small business offering specialized upholstery services.. Motivation: Pick-up and delivery of client furniture requires vehicle security to prevent loss of customer property.. Context: Hermanus based small business.","meta":{"additional_partner_field1":"Suburb","additional_partner_field2":"Hermanus Hermanus"}}</v>
      </c>
    </row>
    <row r="105" spans="1:16" ht="54" customHeight="1" x14ac:dyDescent="0.3">
      <c r="A105" s="1">
        <v>107</v>
      </c>
      <c r="B105" s="4" t="s">
        <v>528</v>
      </c>
      <c r="C105" s="5" t="s">
        <v>529</v>
      </c>
      <c r="D105" s="6" t="s">
        <v>668</v>
      </c>
      <c r="E105" s="7" t="s">
        <v>61</v>
      </c>
      <c r="F105" s="8" t="s">
        <v>530</v>
      </c>
      <c r="G105" s="9" t="s">
        <v>531</v>
      </c>
      <c r="H105" s="11" t="s">
        <v>532</v>
      </c>
      <c r="I105" s="1" t="str">
        <f t="shared" si="6"/>
        <v>0825775612</v>
      </c>
      <c r="J105" s="1" t="s">
        <v>684</v>
      </c>
      <c r="K105" s="1">
        <f t="shared" si="7"/>
        <v>50</v>
      </c>
      <c r="L105" s="12">
        <f t="shared" si="8"/>
        <v>115</v>
      </c>
      <c r="M105" s="1" t="str">
        <f t="shared" si="9"/>
        <v>"method":"createLead","external_system_uid":"B2C - 9PointPlanWA","external_source_id":"</v>
      </c>
      <c r="N105" s="1" t="str">
        <f t="shared" si="10"/>
        <v>","name":"Rirhandzu Shilote","phone":"0825775612","lead_in_date":"22-March-2026 18:14:31","instance_uid":"793c83c2-f829-464c-ad82-a157cf85bf34","campaign_uid":"af7b2cbb-29a4-446b-b4fd-0199a060d9ad","email":"applications@dalrrd.gov.za","remark_message":"Source: Government Agriculture List (requested 2026-01-23) Agricultural entrepreneur lead in Pretoria.. Motivation: Agricultural transport is a prime target for high-value hijackings; a tracker with active monitoring is a mandatory business expense.. Context: Department of Agriculture head office contact.","meta":{"additional_partner_field1":"Suburb","additional_partner_field2":"N/A Pretoria"}}</v>
      </c>
      <c r="O105" s="1" t="str">
        <f t="shared" si="11"/>
        <v>{"token":"611d6f1a-04a1-42eb-889f-c3ff8a29bf45","method":"createLead","external_system_uid":"B2C - 9PointPlanWA","external_source_id":"107","name":"Rirhandzu Shilote","phone":"0825775612","lead_in_date":"22-March-2026 18:14:31","instance_uid":"793c83c2-f829-464c-ad82-a157cf85bf34","campaign_uid":"af7b2cbb-29a4-446b-b4fd-0199a060d9ad","email":"applications@dalrrd.gov.za","remark_message":"Source: Government Agriculture List (requested 2026-01-23) Agricultural entrepreneur lead in Pretoria.. Motivation: Agricultural transport is a prime target for high-value hijackings; a tracker with active monitoring is a mandatory business expense.. Context: Department of Agriculture head office contact.","meta":{"additional_partner_field1":"Suburb","additional_partner_field2":"N/A Pretoria"}}</v>
      </c>
      <c r="P105" s="1" t="s">
        <v>692</v>
      </c>
    </row>
    <row r="106" spans="1:16" ht="54" customHeight="1" x14ac:dyDescent="0.3">
      <c r="A106" s="1">
        <v>108</v>
      </c>
      <c r="B106" s="4" t="s">
        <v>528</v>
      </c>
      <c r="C106" s="5" t="s">
        <v>533</v>
      </c>
      <c r="D106" s="6" t="s">
        <v>624</v>
      </c>
      <c r="E106" s="7" t="s">
        <v>61</v>
      </c>
      <c r="F106" s="8" t="s">
        <v>534</v>
      </c>
      <c r="G106" s="9" t="s">
        <v>535</v>
      </c>
      <c r="H106" s="11" t="s">
        <v>536</v>
      </c>
      <c r="I106" s="1" t="str">
        <f t="shared" si="6"/>
        <v>0835369119</v>
      </c>
      <c r="J106" s="1" t="s">
        <v>684</v>
      </c>
      <c r="K106" s="1">
        <f t="shared" si="7"/>
        <v>50</v>
      </c>
      <c r="L106" s="12">
        <f t="shared" si="8"/>
        <v>115</v>
      </c>
      <c r="M106" s="1" t="str">
        <f t="shared" si="9"/>
        <v>"method":"createLead","external_system_uid":"B2C - 9PointPlanWA","external_source_id":"</v>
      </c>
      <c r="N106" s="1" t="str">
        <f t="shared" si="10"/>
        <v>","name":"Sibusiso Nongwanya (EC Farmer Lead)","phone":"0835369119","lead_in_date":"22-March-2026 18:14:31","instance_uid":"793c83c2-f829-464c-ad82-a157cf85bf34","campaign_uid":"af7b2cbb-29a4-446b-b4fd-0199a060d9ad","email":"applications@dalrrd.gov.za","remark_message":"Source: Government Agriculture List (requested 2026-01-23) Small-scale farming business owner in Eastern Cape.. Motivation: Protecting bakkies used in rural farming communities where police response times are long is a high priority.. Context: Eastern Cape provincial contact.","meta":{"additional_partner_field1":"Suburb","additional_partner_field2":"N/A East London"}}</v>
      </c>
      <c r="O106" s="1" t="str">
        <f t="shared" si="11"/>
        <v>{"token":"611d6f1a-04a1-42eb-889f-c3ff8a29bf45","method":"createLead","external_system_uid":"B2C - 9PointPlanWA","external_source_id":"108","name":"Sibusiso Nongwanya (EC Farmer Lead)","phone":"0835369119","lead_in_date":"22-March-2026 18:14:31","instance_uid":"793c83c2-f829-464c-ad82-a157cf85bf34","campaign_uid":"af7b2cbb-29a4-446b-b4fd-0199a060d9ad","email":"applications@dalrrd.gov.za","remark_message":"Source: Government Agriculture List (requested 2026-01-23) Small-scale farming business owner in Eastern Cape.. Motivation: Protecting bakkies used in rural farming communities where police response times are long is a high priority.. Context: Eastern Cape provincial contact.","meta":{"additional_partner_field1":"Suburb","additional_partner_field2":"N/A East London"}}</v>
      </c>
      <c r="P106" s="1" t="s">
        <v>692</v>
      </c>
    </row>
    <row r="107" spans="1:16" ht="54" customHeight="1" x14ac:dyDescent="0.3">
      <c r="A107" s="1">
        <v>109</v>
      </c>
      <c r="B107" s="4" t="s">
        <v>528</v>
      </c>
      <c r="C107" s="5" t="s">
        <v>537</v>
      </c>
      <c r="D107" s="6" t="s">
        <v>669</v>
      </c>
      <c r="E107" s="7" t="s">
        <v>61</v>
      </c>
      <c r="F107" s="8" t="s">
        <v>538</v>
      </c>
      <c r="G107" s="9" t="s">
        <v>539</v>
      </c>
      <c r="H107" s="11" t="s">
        <v>540</v>
      </c>
      <c r="I107" s="1" t="str">
        <f t="shared" si="6"/>
        <v>0825775622</v>
      </c>
      <c r="J107" s="1" t="s">
        <v>684</v>
      </c>
      <c r="K107" s="1">
        <f t="shared" si="7"/>
        <v>50</v>
      </c>
      <c r="L107" s="12">
        <f t="shared" si="8"/>
        <v>115</v>
      </c>
      <c r="M107" s="1" t="str">
        <f t="shared" si="9"/>
        <v>"method":"createLead","external_system_uid":"B2C - 9PointPlanWA","external_source_id":"</v>
      </c>
      <c r="N107" s="1" t="str">
        <f t="shared" si="10"/>
        <v>","name":"Ms Dudu Nghona","phone":"0825775622","lead_in_date":"22-March-2026 18:14:31","instance_uid":"793c83c2-f829-464c-ad82-a157cf85bf34","campaign_uid":"af7b2cbb-29a4-446b-b4fd-0199a060d9ad","email":"applications@dalrrd.gov.za","remark_message":"Source: Government Agriculture List (requested 2026-01-23) Agricultural small business support lead.. Motivation: For small agricultural enterprises, the loss of one vehicle can mean total bankruptcy; tracking is essential for risk management.. Context: Eastern Cape provincial contact.","meta":{"additional_partner_field1":"Suburb","additional_partner_field2":"N/A East London"}}</v>
      </c>
      <c r="O107" s="1" t="str">
        <f t="shared" si="11"/>
        <v>{"token":"611d6f1a-04a1-42eb-889f-c3ff8a29bf45","method":"createLead","external_system_uid":"B2C - 9PointPlanWA","external_source_id":"109","name":"Ms Dudu Nghona","phone":"0825775622","lead_in_date":"22-March-2026 18:14:31","instance_uid":"793c83c2-f829-464c-ad82-a157cf85bf34","campaign_uid":"af7b2cbb-29a4-446b-b4fd-0199a060d9ad","email":"applications@dalrrd.gov.za","remark_message":"Source: Government Agriculture List (requested 2026-01-23) Agricultural small business support lead.. Motivation: For small agricultural enterprises, the loss of one vehicle can mean total bankruptcy; tracking is essential for risk management.. Context: Eastern Cape provincial contact.","meta":{"additional_partner_field1":"Suburb","additional_partner_field2":"N/A East London"}}</v>
      </c>
      <c r="P107" s="1" t="s">
        <v>692</v>
      </c>
    </row>
    <row r="108" spans="1:16" ht="54" customHeight="1" x14ac:dyDescent="0.3">
      <c r="A108" s="1">
        <v>110</v>
      </c>
      <c r="B108" s="4" t="s">
        <v>528</v>
      </c>
      <c r="C108" s="5" t="s">
        <v>541</v>
      </c>
      <c r="D108" s="6" t="s">
        <v>670</v>
      </c>
      <c r="E108" s="10" t="s">
        <v>7</v>
      </c>
      <c r="F108" s="8" t="s">
        <v>542</v>
      </c>
      <c r="G108" s="9" t="s">
        <v>543</v>
      </c>
      <c r="H108" s="11" t="s">
        <v>544</v>
      </c>
      <c r="I108" s="1" t="str">
        <f t="shared" si="6"/>
        <v>0829070544</v>
      </c>
      <c r="J108" s="1" t="s">
        <v>684</v>
      </c>
      <c r="K108" s="1">
        <f t="shared" si="7"/>
        <v>50</v>
      </c>
      <c r="L108" s="12">
        <f t="shared" si="8"/>
        <v>115</v>
      </c>
      <c r="M108" s="1" t="str">
        <f t="shared" si="9"/>
        <v>"method":"createLead","external_system_uid":"B2C - 9PointPlanWA","external_source_id":"</v>
      </c>
      <c r="N108" s="1" t="str">
        <f t="shared" si="10"/>
        <v>","name":"Ms Mangi Ramabenyane","phone":"0829070544","lead_in_date":"22-March-2026 18:14:31","instance_uid":"793c83c2-f829-464c-ad82-a157cf85bf34","campaign_uid":"af7b2cbb-29a4-446b-b4fd-0199a060d9ad","email":"N/A","remark_message":"Source: Government Agriculture List (requested 2026-01-23) Free State agricultural business lead.. Motivation: Trackers with roaming are vital in the Free State where thieves often take vehicles across provincial lines quickly.. Context: Free State provincial contact.","meta":{"additional_partner_field1":"Suburb","additional_partner_field2":"N/A Bloemfontein"}}</v>
      </c>
      <c r="O108" s="1" t="str">
        <f t="shared" si="11"/>
        <v>{"token":"611d6f1a-04a1-42eb-889f-c3ff8a29bf45","method":"createLead","external_system_uid":"B2C - 9PointPlanWA","external_source_id":"110","name":"Ms Mangi Ramabenyane","phone":"0829070544","lead_in_date":"22-March-2026 18:14:31","instance_uid":"793c83c2-f829-464c-ad82-a157cf85bf34","campaign_uid":"af7b2cbb-29a4-446b-b4fd-0199a060d9ad","email":"N/A","remark_message":"Source: Government Agriculture List (requested 2026-01-23) Free State agricultural business lead.. Motivation: Trackers with roaming are vital in the Free State where thieves often take vehicles across provincial lines quickly.. Context: Free State provincial contact.","meta":{"additional_partner_field1":"Suburb","additional_partner_field2":"N/A Bloemfontein"}}</v>
      </c>
      <c r="P108" s="1" t="s">
        <v>692</v>
      </c>
    </row>
    <row r="109" spans="1:16" ht="54" customHeight="1" x14ac:dyDescent="0.3">
      <c r="A109" s="1">
        <v>111</v>
      </c>
      <c r="B109" s="4" t="s">
        <v>528</v>
      </c>
      <c r="C109" s="5" t="s">
        <v>545</v>
      </c>
      <c r="D109" s="6" t="s">
        <v>601</v>
      </c>
      <c r="E109" s="10" t="s">
        <v>7</v>
      </c>
      <c r="F109" s="8" t="s">
        <v>546</v>
      </c>
      <c r="G109" s="9" t="s">
        <v>547</v>
      </c>
      <c r="H109" s="11" t="s">
        <v>548</v>
      </c>
      <c r="I109" s="1" t="str">
        <f t="shared" si="6"/>
        <v>0714849122</v>
      </c>
      <c r="J109" s="1" t="s">
        <v>684</v>
      </c>
      <c r="K109" s="1">
        <f t="shared" si="7"/>
        <v>50</v>
      </c>
      <c r="L109" s="12">
        <f t="shared" si="8"/>
        <v>115</v>
      </c>
      <c r="M109" s="1" t="str">
        <f t="shared" si="9"/>
        <v>"method":"createLead","external_system_uid":"B2C - 9PointPlanWA","external_source_id":"</v>
      </c>
      <c r="N109" s="1" t="str">
        <f t="shared" si="10"/>
        <v>","name":"Ms Matilda Gasela (Gauteng SME)","phone":"0714849122","lead_in_date":"22-March-2026 18:14:31","instance_uid":"793c83c2-f829-464c-ad82-a157cf85bf34","campaign_uid":"af7b2cbb-29a4-446b-b4fd-0199a060d9ad","email":"N/A","remark_message":"Source: Government Agriculture List (requested 2026-01-23) Business development lead for small farmers.. Motivation: Gauteng's high crime index for vehicle theft makes tracking the single most important investment for any mobile small business.. Context: Gauteng provincial contact.","meta":{"additional_partner_field1":"Suburb","additional_partner_field2":"N/A Johannesburg"}}</v>
      </c>
      <c r="O109" s="1" t="str">
        <f t="shared" si="11"/>
        <v>{"token":"611d6f1a-04a1-42eb-889f-c3ff8a29bf45","method":"createLead","external_system_uid":"B2C - 9PointPlanWA","external_source_id":"111","name":"Ms Matilda Gasela (Gauteng SME)","phone":"0714849122","lead_in_date":"22-March-2026 18:14:31","instance_uid":"793c83c2-f829-464c-ad82-a157cf85bf34","campaign_uid":"af7b2cbb-29a4-446b-b4fd-0199a060d9ad","email":"N/A","remark_message":"Source: Government Agriculture List (requested 2026-01-23) Business development lead for small farmers.. Motivation: Gauteng's high crime index for vehicle theft makes tracking the single most important investment for any mobile small business.. Context: Gauteng provincial contact.","meta":{"additional_partner_field1":"Suburb","additional_partner_field2":"N/A Johannesburg"}}</v>
      </c>
      <c r="P109" s="1" t="s">
        <v>692</v>
      </c>
    </row>
    <row r="110" spans="1:16" ht="54" customHeight="1" x14ac:dyDescent="0.3">
      <c r="A110" s="1">
        <v>112</v>
      </c>
      <c r="B110" s="4" t="s">
        <v>528</v>
      </c>
      <c r="C110" s="5" t="s">
        <v>549</v>
      </c>
      <c r="D110" s="6" t="s">
        <v>671</v>
      </c>
      <c r="E110" s="10" t="s">
        <v>7</v>
      </c>
      <c r="F110" s="8" t="s">
        <v>550</v>
      </c>
      <c r="G110" s="9" t="s">
        <v>551</v>
      </c>
      <c r="H110" s="11" t="s">
        <v>552</v>
      </c>
      <c r="I110" s="1" t="str">
        <f t="shared" si="6"/>
        <v>0825775581</v>
      </c>
      <c r="J110" s="1" t="s">
        <v>684</v>
      </c>
      <c r="K110" s="1">
        <f t="shared" si="7"/>
        <v>50</v>
      </c>
      <c r="L110" s="12">
        <f t="shared" si="8"/>
        <v>115</v>
      </c>
      <c r="M110" s="1" t="str">
        <f t="shared" si="9"/>
        <v>"method":"createLead","external_system_uid":"B2C - 9PointPlanWA","external_source_id":"</v>
      </c>
      <c r="N110" s="1" t="str">
        <f t="shared" si="10"/>
        <v>","name":"Ms Rachel Masango","phone":"0825775581","lead_in_date":"22-March-2026 18:14:31","instance_uid":"793c83c2-f829-464c-ad82-a157cf85bf34","campaign_uid":"af7b2cbb-29a4-446b-b4fd-0199a060d9ad","email":"N/A","remark_message":"Source: Government Agriculture List (requested 2026-01-23) Entrepreneurial support for micro-enterprises.. Motivation: Independent trackers provide the data needed to negotiate lower premiums with commercial insurance providers.. Context: Gauteng provincial contact.","meta":{"additional_partner_field1":"Suburb","additional_partner_field2":"N/A Johannesburg"}}</v>
      </c>
      <c r="O110" s="1" t="str">
        <f t="shared" si="11"/>
        <v>{"token":"611d6f1a-04a1-42eb-889f-c3ff8a29bf45","method":"createLead","external_system_uid":"B2C - 9PointPlanWA","external_source_id":"112","name":"Ms Rachel Masango","phone":"0825775581","lead_in_date":"22-March-2026 18:14:31","instance_uid":"793c83c2-f829-464c-ad82-a157cf85bf34","campaign_uid":"af7b2cbb-29a4-446b-b4fd-0199a060d9ad","email":"N/A","remark_message":"Source: Government Agriculture List (requested 2026-01-23) Entrepreneurial support for micro-enterprises.. Motivation: Independent trackers provide the data needed to negotiate lower premiums with commercial insurance providers.. Context: Gauteng provincial contact.","meta":{"additional_partner_field1":"Suburb","additional_partner_field2":"N/A Johannesburg"}}</v>
      </c>
      <c r="P110" s="1" t="s">
        <v>692</v>
      </c>
    </row>
    <row r="111" spans="1:16" ht="54" customHeight="1" x14ac:dyDescent="0.3">
      <c r="A111" s="1">
        <v>113</v>
      </c>
      <c r="B111" s="4" t="s">
        <v>528</v>
      </c>
      <c r="C111" s="5" t="s">
        <v>553</v>
      </c>
      <c r="D111" s="6" t="s">
        <v>672</v>
      </c>
      <c r="E111" s="10" t="s">
        <v>7</v>
      </c>
      <c r="F111" s="8" t="s">
        <v>554</v>
      </c>
      <c r="G111" s="9" t="s">
        <v>555</v>
      </c>
      <c r="H111" s="11" t="s">
        <v>556</v>
      </c>
      <c r="I111" s="1" t="str">
        <f t="shared" si="6"/>
        <v>0716868158</v>
      </c>
      <c r="J111" s="1" t="s">
        <v>684</v>
      </c>
      <c r="K111" s="1">
        <f t="shared" si="7"/>
        <v>50</v>
      </c>
      <c r="L111" s="12">
        <f t="shared" si="8"/>
        <v>115</v>
      </c>
      <c r="M111" s="1" t="str">
        <f t="shared" si="9"/>
        <v>"method":"createLead","external_system_uid":"B2C - 9PointPlanWA","external_source_id":"</v>
      </c>
      <c r="N111" s="1" t="str">
        <f t="shared" si="10"/>
        <v>","name":"Mr Siza Sibande","phone":"0716868158","lead_in_date":"22-March-2026 18:14:31","instance_uid":"793c83c2-f829-464c-ad82-a157cf85bf34","campaign_uid":"af7b2cbb-29a4-446b-b4fd-0199a060d9ad","email":"N/A","remark_message":"Source: Government Agriculture List (requested 2026-01-23) KZN agricultural business coordinator.. Motivation: Vehicles carrying livestock are a specific target; tracking trailers and bakkies is vital for livestock security.. Context: KwaZulu-Natal provincial contact.","meta":{"additional_partner_field1":"Suburb","additional_partner_field2":"N/A Durban"}}</v>
      </c>
      <c r="O111" s="1" t="str">
        <f t="shared" si="11"/>
        <v>{"token":"611d6f1a-04a1-42eb-889f-c3ff8a29bf45","method":"createLead","external_system_uid":"B2C - 9PointPlanWA","external_source_id":"113","name":"Mr Siza Sibande","phone":"0716868158","lead_in_date":"22-March-2026 18:14:31","instance_uid":"793c83c2-f829-464c-ad82-a157cf85bf34","campaign_uid":"af7b2cbb-29a4-446b-b4fd-0199a060d9ad","email":"N/A","remark_message":"Source: Government Agriculture List (requested 2026-01-23) KZN agricultural business coordinator.. Motivation: Vehicles carrying livestock are a specific target; tracking trailers and bakkies is vital for livestock security.. Context: KwaZulu-Natal provincial contact.","meta":{"additional_partner_field1":"Suburb","additional_partner_field2":"N/A Durban"}}</v>
      </c>
      <c r="P111" s="1" t="s">
        <v>692</v>
      </c>
    </row>
    <row r="112" spans="1:16" ht="54" customHeight="1" x14ac:dyDescent="0.3">
      <c r="A112" s="1">
        <v>114</v>
      </c>
      <c r="B112" s="4" t="s">
        <v>528</v>
      </c>
      <c r="C112" s="5" t="s">
        <v>557</v>
      </c>
      <c r="D112" s="6" t="s">
        <v>673</v>
      </c>
      <c r="E112" s="10" t="s">
        <v>7</v>
      </c>
      <c r="F112" s="8" t="s">
        <v>558</v>
      </c>
      <c r="G112" s="9" t="s">
        <v>559</v>
      </c>
      <c r="H112" s="11" t="s">
        <v>560</v>
      </c>
      <c r="I112" s="1" t="str">
        <f t="shared" si="6"/>
        <v>0828886282</v>
      </c>
      <c r="J112" s="1" t="s">
        <v>684</v>
      </c>
      <c r="K112" s="1">
        <f t="shared" si="7"/>
        <v>50</v>
      </c>
      <c r="L112" s="12">
        <f t="shared" si="8"/>
        <v>115</v>
      </c>
      <c r="M112" s="1" t="str">
        <f t="shared" si="9"/>
        <v>"method":"createLead","external_system_uid":"B2C - 9PointPlanWA","external_source_id":"</v>
      </c>
      <c r="N112" s="1" t="str">
        <f t="shared" si="10"/>
        <v>","name":"Mr Nhlanhla Mndaweni","phone":"0828886282","lead_in_date":"22-March-2026 18:14:31","instance_uid":"793c83c2-f829-464c-ad82-a157cf85bf34","campaign_uid":"af7b2cbb-29a4-446b-b4fd-0199a060d9ad","email":"N/A","remark_message":"Source: Government Agriculture List (requested 2026-01-23) KZN-based small farming lead.. Motivation: Ensure that produce delivery schedules are optimized and vehicles are safe during market transit through high-risk urban centers.. Context: KwaZulu-Natal provincial contact.","meta":{"additional_partner_field1":"Suburb","additional_partner_field2":"N/A Pietermaritzburg"}}</v>
      </c>
      <c r="O112" s="1" t="str">
        <f t="shared" si="11"/>
        <v>{"token":"611d6f1a-04a1-42eb-889f-c3ff8a29bf45","method":"createLead","external_system_uid":"B2C - 9PointPlanWA","external_source_id":"114","name":"Mr Nhlanhla Mndaweni","phone":"0828886282","lead_in_date":"22-March-2026 18:14:31","instance_uid":"793c83c2-f829-464c-ad82-a157cf85bf34","campaign_uid":"af7b2cbb-29a4-446b-b4fd-0199a060d9ad","email":"N/A","remark_message":"Source: Government Agriculture List (requested 2026-01-23) KZN-based small farming lead.. Motivation: Ensure that produce delivery schedules are optimized and vehicles are safe during market transit through high-risk urban centers.. Context: KwaZulu-Natal provincial contact.","meta":{"additional_partner_field1":"Suburb","additional_partner_field2":"N/A Pietermaritzburg"}}</v>
      </c>
      <c r="P112" s="1" t="s">
        <v>692</v>
      </c>
    </row>
    <row r="113" spans="1:16" ht="54" customHeight="1" x14ac:dyDescent="0.3">
      <c r="A113" s="1">
        <v>115</v>
      </c>
      <c r="B113" s="4" t="s">
        <v>528</v>
      </c>
      <c r="C113" s="5" t="s">
        <v>561</v>
      </c>
      <c r="D113" s="6" t="s">
        <v>674</v>
      </c>
      <c r="E113" s="10" t="s">
        <v>7</v>
      </c>
      <c r="F113" s="8" t="s">
        <v>562</v>
      </c>
      <c r="G113" s="9" t="s">
        <v>563</v>
      </c>
      <c r="H113" s="11" t="s">
        <v>564</v>
      </c>
      <c r="I113" s="1" t="str">
        <f t="shared" si="6"/>
        <v>0834511056</v>
      </c>
      <c r="J113" s="1" t="s">
        <v>684</v>
      </c>
      <c r="K113" s="1">
        <f t="shared" si="7"/>
        <v>50</v>
      </c>
      <c r="L113" s="12">
        <f t="shared" si="8"/>
        <v>115</v>
      </c>
      <c r="M113" s="1" t="str">
        <f t="shared" si="9"/>
        <v>"method":"createLead","external_system_uid":"B2C - 9PointPlanWA","external_source_id":"</v>
      </c>
      <c r="N113" s="1" t="str">
        <f t="shared" si="10"/>
        <v>","name":"Ms Jacqueline Maisela","phone":"0834511056","lead_in_date":"22-March-2026 18:14:31","instance_uid":"793c83c2-f829-464c-ad82-a157cf85bf34","campaign_uid":"af7b2cbb-29a4-446b-b4fd-0199a060d9ad","email":"N/A","remark_message":"Source: Government Agriculture List (requested 2026-01-23) Limpopo agricultural entrepreneur lead.. Motivation: Tracking helps in managing the security of cross-border trade vehicles which are highly susceptible to theft and hijacking.. Context: Limpopo provincial contact.","meta":{"additional_partner_field1":"Suburb","additional_partner_field2":"N/A Polokwane"}}</v>
      </c>
      <c r="O113" s="1" t="str">
        <f t="shared" si="11"/>
        <v>{"token":"611d6f1a-04a1-42eb-889f-c3ff8a29bf45","method":"createLead","external_system_uid":"B2C - 9PointPlanWA","external_source_id":"115","name":"Ms Jacqueline Maisela","phone":"0834511056","lead_in_date":"22-March-2026 18:14:31","instance_uid":"793c83c2-f829-464c-ad82-a157cf85bf34","campaign_uid":"af7b2cbb-29a4-446b-b4fd-0199a060d9ad","email":"N/A","remark_message":"Source: Government Agriculture List (requested 2026-01-23) Limpopo agricultural entrepreneur lead.. Motivation: Tracking helps in managing the security of cross-border trade vehicles which are highly susceptible to theft and hijacking.. Context: Limpopo provincial contact.","meta":{"additional_partner_field1":"Suburb","additional_partner_field2":"N/A Polokwane"}}</v>
      </c>
      <c r="P113" s="1" t="s">
        <v>692</v>
      </c>
    </row>
    <row r="114" spans="1:16" ht="54" customHeight="1" x14ac:dyDescent="0.3">
      <c r="A114" s="1">
        <v>116</v>
      </c>
      <c r="B114" s="4" t="s">
        <v>528</v>
      </c>
      <c r="C114" s="5" t="s">
        <v>565</v>
      </c>
      <c r="D114" s="6" t="s">
        <v>675</v>
      </c>
      <c r="E114" s="10" t="s">
        <v>7</v>
      </c>
      <c r="F114" s="8" t="s">
        <v>566</v>
      </c>
      <c r="G114" s="9" t="s">
        <v>567</v>
      </c>
      <c r="H114" s="11" t="s">
        <v>568</v>
      </c>
      <c r="I114" s="1" t="str">
        <f t="shared" si="6"/>
        <v>0829012716</v>
      </c>
      <c r="J114" s="1" t="s">
        <v>684</v>
      </c>
      <c r="K114" s="1">
        <f t="shared" si="7"/>
        <v>50</v>
      </c>
      <c r="L114" s="12">
        <f t="shared" si="8"/>
        <v>115</v>
      </c>
      <c r="M114" s="1" t="str">
        <f t="shared" si="9"/>
        <v>"method":"createLead","external_system_uid":"B2C - 9PointPlanWA","external_source_id":"</v>
      </c>
      <c r="N114" s="1" t="str">
        <f t="shared" si="10"/>
        <v>","name":"Mr LS Monareng","phone":"0829012716","lead_in_date":"22-March-2026 18:14:31","instance_uid":"793c83c2-f829-464c-ad82-a157cf85bf34","campaign_uid":"af7b2cbb-29a4-446b-b4fd-0199a060d9ad","email":"N/A","remark_message":"Source: Government Agriculture List (requested 2026-01-23) Mpumalanga small enterprise lead.. Motivation: Protect bakkies and trailers used for small-scale transport in areas with poor road lighting and high hijack risk.. Context: Mpumalanga provincial contact.","meta":{"additional_partner_field1":"Suburb","additional_partner_field2":"N/A Nelspruit"}}</v>
      </c>
      <c r="O114" s="1" t="str">
        <f t="shared" si="11"/>
        <v>{"token":"611d6f1a-04a1-42eb-889f-c3ff8a29bf45","method":"createLead","external_system_uid":"B2C - 9PointPlanWA","external_source_id":"116","name":"Mr LS Monareng","phone":"0829012716","lead_in_date":"22-March-2026 18:14:31","instance_uid":"793c83c2-f829-464c-ad82-a157cf85bf34","campaign_uid":"af7b2cbb-29a4-446b-b4fd-0199a060d9ad","email":"N/A","remark_message":"Source: Government Agriculture List (requested 2026-01-23) Mpumalanga small enterprise lead.. Motivation: Protect bakkies and trailers used for small-scale transport in areas with poor road lighting and high hijack risk.. Context: Mpumalanga provincial contact.","meta":{"additional_partner_field1":"Suburb","additional_partner_field2":"N/A Nelspruit"}}</v>
      </c>
      <c r="P114" s="1" t="s">
        <v>692</v>
      </c>
    </row>
    <row r="115" spans="1:16" ht="54" customHeight="1" x14ac:dyDescent="0.3">
      <c r="A115" s="1">
        <v>117</v>
      </c>
      <c r="B115" s="4" t="s">
        <v>528</v>
      </c>
      <c r="C115" s="5" t="s">
        <v>569</v>
      </c>
      <c r="D115" s="6" t="s">
        <v>676</v>
      </c>
      <c r="E115" s="10" t="s">
        <v>7</v>
      </c>
      <c r="F115" s="8" t="s">
        <v>570</v>
      </c>
      <c r="G115" s="9" t="s">
        <v>571</v>
      </c>
      <c r="H115" s="11" t="s">
        <v>572</v>
      </c>
      <c r="I115" s="1" t="str">
        <f t="shared" si="6"/>
        <v>0829698672</v>
      </c>
      <c r="J115" s="1" t="s">
        <v>684</v>
      </c>
      <c r="K115" s="1">
        <f t="shared" si="7"/>
        <v>50</v>
      </c>
      <c r="L115" s="12">
        <f t="shared" si="8"/>
        <v>115</v>
      </c>
      <c r="M115" s="1" t="str">
        <f t="shared" si="9"/>
        <v>"method":"createLead","external_system_uid":"B2C - 9PointPlanWA","external_source_id":"</v>
      </c>
      <c r="N115" s="1" t="str">
        <f t="shared" si="10"/>
        <v>","name":"Ms Zanele Sihlangu","phone":"0829698672","lead_in_date":"22-March-2026 18:14:31","instance_uid":"793c83c2-f829-464c-ad82-a157cf85bf34","campaign_uid":"af7b2cbb-29a4-446b-b4fd-0199a060d9ad","email":"N/A","remark_message":"Source: Government Agriculture List (requested 2026-01-23) Business lead for Mpumalanga smallholders.. Motivation: Trackers with remote immobilization are a key tool for small business owners to regain control if a vehicle is hijacked.. Context: Mpumalanga provincial contact.","meta":{"additional_partner_field1":"Suburb","additional_partner_field2":"N/A Nelspruit"}}</v>
      </c>
      <c r="O115" s="1" t="str">
        <f t="shared" si="11"/>
        <v>{"token":"611d6f1a-04a1-42eb-889f-c3ff8a29bf45","method":"createLead","external_system_uid":"B2C - 9PointPlanWA","external_source_id":"117","name":"Ms Zanele Sihlangu","phone":"0829698672","lead_in_date":"22-March-2026 18:14:31","instance_uid":"793c83c2-f829-464c-ad82-a157cf85bf34","campaign_uid":"af7b2cbb-29a4-446b-b4fd-0199a060d9ad","email":"N/A","remark_message":"Source: Government Agriculture List (requested 2026-01-23) Business lead for Mpumalanga smallholders.. Motivation: Trackers with remote immobilization are a key tool for small business owners to regain control if a vehicle is hijacked.. Context: Mpumalanga provincial contact.","meta":{"additional_partner_field1":"Suburb","additional_partner_field2":"N/A Nelspruit"}}</v>
      </c>
      <c r="P115" s="1" t="s">
        <v>692</v>
      </c>
    </row>
    <row r="116" spans="1:16" ht="54" customHeight="1" x14ac:dyDescent="0.3">
      <c r="A116" s="1">
        <v>118</v>
      </c>
      <c r="B116" s="4" t="s">
        <v>528</v>
      </c>
      <c r="C116" s="5" t="s">
        <v>573</v>
      </c>
      <c r="D116" s="6" t="s">
        <v>677</v>
      </c>
      <c r="E116" s="10" t="s">
        <v>7</v>
      </c>
      <c r="F116" s="8" t="s">
        <v>574</v>
      </c>
      <c r="G116" s="9" t="s">
        <v>575</v>
      </c>
      <c r="H116" s="11" t="s">
        <v>576</v>
      </c>
      <c r="I116" s="1" t="str">
        <f t="shared" si="6"/>
        <v>0834566153</v>
      </c>
      <c r="J116" s="1" t="s">
        <v>684</v>
      </c>
      <c r="K116" s="1">
        <f t="shared" si="7"/>
        <v>50</v>
      </c>
      <c r="L116" s="12">
        <f t="shared" si="8"/>
        <v>115</v>
      </c>
      <c r="M116" s="1" t="str">
        <f t="shared" si="9"/>
        <v>"method":"createLead","external_system_uid":"B2C - 9PointPlanWA","external_source_id":"</v>
      </c>
      <c r="N116" s="1" t="str">
        <f t="shared" si="10"/>
        <v>","name":"Ms Nyakallo Moletsane","phone":"0834566153","lead_in_date":"22-March-2026 18:14:31","instance_uid":"793c83c2-f829-464c-ad82-a157cf85bf34","campaign_uid":"af7b2cbb-29a4-446b-b4fd-0199a060d9ad","email":"N/A","remark_message":"Source: Government Agriculture List (requested 2026-01-23) Northern Cape small business coordinator.. Motivation: In the vast Northern Cape, vehicle recovery is only possible with satellite tracking; standard GSM signals are often insufficient.. Context: Northern Cape provincial contact.","meta":{"additional_partner_field1":"Suburb","additional_partner_field2":"N/A Kimberley"}}</v>
      </c>
      <c r="O116" s="1" t="str">
        <f t="shared" si="11"/>
        <v>{"token":"611d6f1a-04a1-42eb-889f-c3ff8a29bf45","method":"createLead","external_system_uid":"B2C - 9PointPlanWA","external_source_id":"118","name":"Ms Nyakallo Moletsane","phone":"0834566153","lead_in_date":"22-March-2026 18:14:31","instance_uid":"793c83c2-f829-464c-ad82-a157cf85bf34","campaign_uid":"af7b2cbb-29a4-446b-b4fd-0199a060d9ad","email":"N/A","remark_message":"Source: Government Agriculture List (requested 2026-01-23) Northern Cape small business coordinator.. Motivation: In the vast Northern Cape, vehicle recovery is only possible with satellite tracking; standard GSM signals are often insufficient.. Context: Northern Cape provincial contact.","meta":{"additional_partner_field1":"Suburb","additional_partner_field2":"N/A Kimberley"}}</v>
      </c>
      <c r="P116" s="1" t="s">
        <v>692</v>
      </c>
    </row>
    <row r="117" spans="1:16" ht="54" customHeight="1" x14ac:dyDescent="0.3">
      <c r="A117" s="1">
        <v>119</v>
      </c>
      <c r="B117" s="4" t="s">
        <v>528</v>
      </c>
      <c r="C117" s="5" t="s">
        <v>577</v>
      </c>
      <c r="D117" s="6" t="s">
        <v>678</v>
      </c>
      <c r="E117" s="10" t="s">
        <v>7</v>
      </c>
      <c r="F117" s="8" t="s">
        <v>578</v>
      </c>
      <c r="G117" s="9" t="s">
        <v>579</v>
      </c>
      <c r="H117" s="11" t="s">
        <v>580</v>
      </c>
      <c r="I117" s="1" t="str">
        <f t="shared" si="6"/>
        <v>0829475612</v>
      </c>
      <c r="J117" s="1" t="s">
        <v>684</v>
      </c>
      <c r="K117" s="1">
        <f t="shared" si="7"/>
        <v>50</v>
      </c>
      <c r="L117" s="12">
        <f t="shared" si="8"/>
        <v>115</v>
      </c>
      <c r="M117" s="1" t="str">
        <f t="shared" si="9"/>
        <v>"method":"createLead","external_system_uid":"B2C - 9PointPlanWA","external_source_id":"</v>
      </c>
      <c r="N117" s="1" t="str">
        <f t="shared" si="10"/>
        <v>","name":"Mr Kgotso Moeketsi","phone":"0829475612","lead_in_date":"22-March-2026 18:14:31","instance_uid":"793c83c2-f829-464c-ad82-a157cf85bf34","campaign_uid":"af7b2cbb-29a4-446b-b4fd-0199a060d9ad","email":"N/A","remark_message":"Source: Government Agriculture List (requested 2026-01-23) Northern Cape entrepreneurial lead.. Motivation: Protect the business's main transport assets from opportunistic theft during long-distance market delivery runs.. Context: Northern Cape provincial contact.","meta":{"additional_partner_field1":"Suburb","additional_partner_field2":"N/A Kimberley"}}</v>
      </c>
      <c r="O117" s="1" t="str">
        <f t="shared" si="11"/>
        <v>{"token":"611d6f1a-04a1-42eb-889f-c3ff8a29bf45","method":"createLead","external_system_uid":"B2C - 9PointPlanWA","external_source_id":"119","name":"Mr Kgotso Moeketsi","phone":"0829475612","lead_in_date":"22-March-2026 18:14:31","instance_uid":"793c83c2-f829-464c-ad82-a157cf85bf34","campaign_uid":"af7b2cbb-29a4-446b-b4fd-0199a060d9ad","email":"N/A","remark_message":"Source: Government Agriculture List (requested 2026-01-23) Northern Cape entrepreneurial lead.. Motivation: Protect the business's main transport assets from opportunistic theft during long-distance market delivery runs.. Context: Northern Cape provincial contact.","meta":{"additional_partner_field1":"Suburb","additional_partner_field2":"N/A Kimberley"}}</v>
      </c>
      <c r="P117" s="1" t="s">
        <v>692</v>
      </c>
    </row>
    <row r="118" spans="1:16" ht="54" customHeight="1" x14ac:dyDescent="0.3">
      <c r="A118" s="1">
        <v>120</v>
      </c>
      <c r="B118" s="4" t="s">
        <v>528</v>
      </c>
      <c r="C118" s="5" t="s">
        <v>581</v>
      </c>
      <c r="D118" s="6" t="s">
        <v>679</v>
      </c>
      <c r="E118" s="10" t="s">
        <v>7</v>
      </c>
      <c r="F118" s="8" t="s">
        <v>582</v>
      </c>
      <c r="G118" s="9" t="s">
        <v>583</v>
      </c>
      <c r="H118" s="11" t="s">
        <v>584</v>
      </c>
      <c r="I118" s="1" t="str">
        <f t="shared" si="6"/>
        <v>0765207291</v>
      </c>
      <c r="J118" s="1" t="s">
        <v>684</v>
      </c>
      <c r="K118" s="1">
        <f t="shared" si="7"/>
        <v>50</v>
      </c>
      <c r="L118" s="12">
        <f t="shared" si="8"/>
        <v>115</v>
      </c>
      <c r="M118" s="1" t="str">
        <f t="shared" si="9"/>
        <v>"method":"createLead","external_system_uid":"B2C - 9PointPlanWA","external_source_id":"</v>
      </c>
      <c r="N118" s="1" t="str">
        <f t="shared" si="10"/>
        <v>","name":"Mr Richard Keothaile","phone":"0765207291","lead_in_date":"22-March-2026 18:14:31","instance_uid":"793c83c2-f829-464c-ad82-a157cf85bf34","campaign_uid":"af7b2cbb-29a4-446b-b4fd-0199a060d9ad","email":"N/A","remark_message":"Source: Government Agriculture List (requested 2026-01-23) North West province small business lead.. Motivation: Small businesses in the North West need tracking to monitor driver behavior and reduce fuel costs on high-mileage routes.. Context: North West provincial contact.","meta":{"additional_partner_field1":"Suburb","additional_partner_field2":"N/A Mafikeng"}}</v>
      </c>
      <c r="O118" s="1" t="str">
        <f t="shared" si="11"/>
        <v>{"token":"611d6f1a-04a1-42eb-889f-c3ff8a29bf45","method":"createLead","external_system_uid":"B2C - 9PointPlanWA","external_source_id":"120","name":"Mr Richard Keothaile","phone":"0765207291","lead_in_date":"22-March-2026 18:14:31","instance_uid":"793c83c2-f829-464c-ad82-a157cf85bf34","campaign_uid":"af7b2cbb-29a4-446b-b4fd-0199a060d9ad","email":"N/A","remark_message":"Source: Government Agriculture List (requested 2026-01-23) North West province small business lead.. Motivation: Small businesses in the North West need tracking to monitor driver behavior and reduce fuel costs on high-mileage routes.. Context: North West provincial contact.","meta":{"additional_partner_field1":"Suburb","additional_partner_field2":"N/A Mafikeng"}}</v>
      </c>
      <c r="P118" s="1" t="s">
        <v>692</v>
      </c>
    </row>
    <row r="119" spans="1:16" ht="54" customHeight="1" x14ac:dyDescent="0.3">
      <c r="A119" s="1">
        <v>121</v>
      </c>
      <c r="B119" s="4" t="s">
        <v>528</v>
      </c>
      <c r="C119" s="5" t="s">
        <v>585</v>
      </c>
      <c r="D119" s="6" t="s">
        <v>680</v>
      </c>
      <c r="E119" s="10" t="s">
        <v>7</v>
      </c>
      <c r="F119" s="8" t="s">
        <v>586</v>
      </c>
      <c r="G119" s="9" t="s">
        <v>587</v>
      </c>
      <c r="H119" s="11" t="s">
        <v>588</v>
      </c>
      <c r="I119" s="1" t="str">
        <f t="shared" si="6"/>
        <v>0824585291</v>
      </c>
      <c r="J119" s="1" t="s">
        <v>684</v>
      </c>
      <c r="K119" s="1">
        <f t="shared" si="7"/>
        <v>50</v>
      </c>
      <c r="L119" s="12">
        <f t="shared" si="8"/>
        <v>115</v>
      </c>
      <c r="M119" s="1" t="str">
        <f t="shared" si="9"/>
        <v>"method":"createLead","external_system_uid":"B2C - 9PointPlanWA","external_source_id":"</v>
      </c>
      <c r="N119" s="1" t="str">
        <f t="shared" si="10"/>
        <v>","name":"Dr Mogale Sebopetsa","phone":"0824585291","lead_in_date":"22-March-2026 18:14:31","instance_uid":"793c83c2-f829-464c-ad82-a157cf85bf34","campaign_uid":"af7b2cbb-29a4-446b-b4fd-0199a060d9ad","email":"N/A","remark_message":"Source: Government Agriculture List (requested 2026-01-23) Western Cape high-level small business advisor.. Motivation: Commercial farmers must implement fleet tracking to ensure full compliance with modern agricultural logistics and insurance standards.. Context: Western Cape provincial contact.","meta":{"additional_partner_field1":"Suburb","additional_partner_field2":"N/A Cape Town"}}</v>
      </c>
      <c r="O119" s="1" t="str">
        <f t="shared" si="11"/>
        <v>{"token":"611d6f1a-04a1-42eb-889f-c3ff8a29bf45","method":"createLead","external_system_uid":"B2C - 9PointPlanWA","external_source_id":"121","name":"Dr Mogale Sebopetsa","phone":"0824585291","lead_in_date":"22-March-2026 18:14:31","instance_uid":"793c83c2-f829-464c-ad82-a157cf85bf34","campaign_uid":"af7b2cbb-29a4-446b-b4fd-0199a060d9ad","email":"N/A","remark_message":"Source: Government Agriculture List (requested 2026-01-23) Western Cape high-level small business advisor.. Motivation: Commercial farmers must implement fleet tracking to ensure full compliance with modern agricultural logistics and insurance standards.. Context: Western Cape provincial contact.","meta":{"additional_partner_field1":"Suburb","additional_partner_field2":"N/A Cape Town"}}</v>
      </c>
      <c r="P119" s="1" t="s">
        <v>692</v>
      </c>
    </row>
  </sheetData>
  <autoFilter ref="A1:P119" xr:uid="{6DA9104A-62D1-425F-BED9-D2B4C0D6F030}">
    <filterColumn colId="15">
      <filters>
        <filter val="To send"/>
      </filters>
    </filterColumn>
  </autoFilter>
  <hyperlinks>
    <hyperlink ref="B2" r:id="rId1" display="https://dhelectrical-sa.co.za/" xr:uid="{C7D5DE36-5D89-4899-B647-8B72B8C37C64}"/>
    <hyperlink ref="B3" r:id="rId2" display="https://excellelectrical.co.za/" xr:uid="{14840233-DE07-42EA-868D-0BEE396C3E7F}"/>
    <hyperlink ref="B4" r:id="rId3" display="https://bcnelectrical.co.za/" xr:uid="{D602455D-9836-4FD5-B0AB-C4CED4168960}"/>
    <hyperlink ref="B5" r:id="rId4" display="https://marshallplumbing.co.za/" xr:uid="{71FDE3DE-C104-4BF5-A775-FEDA174945B3}"/>
    <hyperlink ref="B6" r:id="rId5" display="https://greenplanetplumbing.co.za/" xr:uid="{7E2AB97B-EAC1-479B-A7D9-E710EE121F27}"/>
    <hyperlink ref="B7" r:id="rId6" display="https://bni.co.za/" xr:uid="{21AC7552-6E89-4B00-BD34-04D0E0068C09}"/>
    <hyperlink ref="B8" r:id="rId7" display="https://b4electrical.co.za/" xr:uid="{21FE8C34-F27A-4DE3-8510-FCE8C1290727}"/>
    <hyperlink ref="B9" r:id="rId8" display="https://gumtree.co.za/" xr:uid="{8453E9E6-8CCD-4E59-B88C-3F9AB6B511B8}"/>
    <hyperlink ref="B10" r:id="rId9" display="https://gumtree.co.za/" xr:uid="{336AFBEB-2F23-4F32-9261-CD1E76B5A3AA}"/>
    <hyperlink ref="B11" r:id="rId10" display="https://glowgomobilecarwash.co.za/" xr:uid="{8D3371F8-2FF5-4F2D-8409-36DCDAF1EA28}"/>
    <hyperlink ref="B12" r:id="rId11" display="https://www.gov.za/" xr:uid="{696A1249-7E6A-4C66-BDE2-71ED72A51288}"/>
    <hyperlink ref="B13" r:id="rId12" display="https://www.gov.za/" xr:uid="{121E9658-1B7D-4523-836A-DD61AD884210}"/>
    <hyperlink ref="B14" r:id="rId13" display="https://www.gov.za/" xr:uid="{C5C36D7F-58B7-467B-824C-5DFEAEFE28E7}"/>
    <hyperlink ref="B15" r:id="rId14" display="https://site123.me/" xr:uid="{F54268D2-310E-42B9-B895-1743753117B3}"/>
    <hyperlink ref="B16" r:id="rId15" display="https://gillcoopergardens.co.za/" xr:uid="{3DB04EE1-AB0E-458A-8370-CCF3B6EDA4C8}"/>
    <hyperlink ref="B17" r:id="rId16" display="https://responsecouriers.co.za/" xr:uid="{E3AF8F6E-3C57-4128-B0E7-089FC37914B4}"/>
    <hyperlink ref="B18" r:id="rId17" display="https://smetjetafrica.com/" xr:uid="{75040CB7-4E2C-4C0C-B51B-D08B3FA7A934}"/>
    <hyperlink ref="B19" r:id="rId18" display="https://caperiverstone.co.za/" xr:uid="{C2FDE410-332B-4DC7-A678-508EEEBC4658}"/>
    <hyperlink ref="B20" r:id="rId19" display="https://foxhandyman.co.za/" xr:uid="{DCFD7FDA-F70F-461C-99FB-8C201385C2DB}"/>
    <hyperlink ref="B21" r:id="rId20" display="https://gumtree.co.za/" xr:uid="{F7676834-009F-45FB-8F49-5716A8E2906A}"/>
    <hyperlink ref="B22" r:id="rId21" display="https://gumtree.co.za/" xr:uid="{28685308-FC38-47E3-9E63-C680045C13EF}"/>
    <hyperlink ref="B23" r:id="rId22" display="https://gumtree.co.za/" xr:uid="{A57C22F6-73B9-4E09-A517-0E27978961FC}"/>
    <hyperlink ref="B24" r:id="rId23" display="https://gumtree.co.za/" xr:uid="{A40FC666-14BE-4517-A90C-00A1DE957C9B}"/>
    <hyperlink ref="B25" r:id="rId24" display="https://issuu.com/actionads" xr:uid="{0152CD37-E5BD-497B-92FB-B54B073E6791}"/>
    <hyperlink ref="B26" r:id="rId25" display="https://issuu.com/actionads" xr:uid="{71BA9E89-CED5-4EB9-8A09-1D5A9FCD3541}"/>
    <hyperlink ref="B27" r:id="rId26" display="https://pirateplumbing.co.za/" xr:uid="{3C227DB3-4E57-450D-B56F-D6DA0B89DE32}"/>
    <hyperlink ref="B28" r:id="rId27" display="https://hbplumbing.co.za/" xr:uid="{EAC35E99-0C1B-4486-9837-AAF58495145D}"/>
    <hyperlink ref="B29" r:id="rId28" display="https://fixitmaintenance.co.za/" xr:uid="{6DF38C33-57E3-4A31-843B-8FA9F628AC38}"/>
    <hyperlink ref="B30" r:id="rId29" display="https://mantleprojects.co.za/" xr:uid="{1C959C26-4E76-4204-9DAF-C7FFEA95D1A9}"/>
    <hyperlink ref="B31" r:id="rId30" display="https://khulanathielectrical.co.za/" xr:uid="{B5C3E18E-4EBD-45F4-AFCA-F74D8CB1F982}"/>
    <hyperlink ref="B32" r:id="rId31" display="https://laatzelectrical.co.za/" xr:uid="{D5F93F72-77C7-489C-9281-186D21F61114}"/>
    <hyperlink ref="B33" r:id="rId32" display="https://whalecoastdirectory.co.za/" xr:uid="{AA0AB72E-DDF2-4CD7-B8AC-CD6795E5242E}"/>
    <hyperlink ref="B34" r:id="rId33" display="https://whalecoastdirectory.co.za/" xr:uid="{23CFE2A3-2D01-4708-A390-7CF44B2C01CD}"/>
    <hyperlink ref="B35" r:id="rId34" display="https://whalecoastdirectory.co.za/" xr:uid="{7B226F67-A625-46B4-9912-0A8445036100}"/>
    <hyperlink ref="B36" r:id="rId35" display="https://whalecoastdirectory.co.za/" xr:uid="{9F151327-595B-4EF9-B175-76AF4D949832}"/>
    <hyperlink ref="B37" r:id="rId36" display="https://www.gov.za/" xr:uid="{9BD89A6B-9A84-435B-BC07-B75B47B5EF3E}"/>
    <hyperlink ref="B38" r:id="rId37" display="https://www.gov.za/" xr:uid="{B889DABC-4EE4-4622-9E12-1C4E77F9600A}"/>
    <hyperlink ref="B39" r:id="rId38" display="https://www.gov.za/" xr:uid="{243F568B-BE5D-4B1F-A63F-7518B4197983}"/>
    <hyperlink ref="B40" r:id="rId39" display="https://issuu.com/actionads" xr:uid="{4FB6D6EE-C758-4BFE-A0F6-B3B84184206F}"/>
    <hyperlink ref="B41" r:id="rId40" display="https://247plumberpretoria.co.za/" xr:uid="{D52E64F2-ADCC-413D-8208-C965F1EAA73F}"/>
    <hyperlink ref="B42" r:id="rId41" display="https://matrix.co.za/" xr:uid="{49956556-E8F4-4B42-A118-140740B5EB16}"/>
    <hyperlink ref="B43" r:id="rId42" display="https://sirelo.co.za/" xr:uid="{DCC4E151-EAFA-48F2-8275-A5258E2B97BD}"/>
    <hyperlink ref="B44" r:id="rId43" display="https://freedomwon.co.za/" xr:uid="{42B98086-A3EF-422E-9164-BBA4299F576E}"/>
    <hyperlink ref="B45" r:id="rId44" display="https://freedomwon.co.za/" xr:uid="{58969224-9361-452F-B2ED-237ED56A263F}"/>
    <hyperlink ref="B46" r:id="rId45" display="https://freedomwon.co.za/" xr:uid="{DC11A8CD-9156-4FD6-B060-817D6232C54D}"/>
    <hyperlink ref="B47" r:id="rId46" display="https://solarchargesolutions.co.za/" xr:uid="{1884E7DF-A296-433B-BE5C-598E49EC5324}"/>
    <hyperlink ref="B48" r:id="rId47" display="https://issuu.com/african-cleaning-review" xr:uid="{7AB6AE46-477D-4C7A-AD0B-225F777F751C}"/>
    <hyperlink ref="B49" r:id="rId48" display="https://issuu.com/african-cleaning-review" xr:uid="{95A9B420-5599-4D4A-B377-ABCF41C2C873}"/>
    <hyperlink ref="B50" r:id="rId49" display="https://oroafrica.com/" xr:uid="{AE0350F0-922E-42F9-BD2E-328F09992AC8}"/>
    <hyperlink ref="B51" r:id="rId50" display="https://bcnelectrical.co.za/" xr:uid="{A64C4351-4890-4053-8999-A7FC50EEAF8E}"/>
    <hyperlink ref="B52" r:id="rId51" display="https://freedomwon.co.za/" xr:uid="{F71ED5B8-49A9-4C91-B757-244C1BB31167}"/>
    <hyperlink ref="B53" r:id="rId52" display="https://tshwane.gov.za/" xr:uid="{4466AC47-486B-4E2F-A88C-F30582755FC0}"/>
    <hyperlink ref="B54" r:id="rId53" display="https://tshwane.gov.za/" xr:uid="{015A272F-F2F3-4F66-8760-D77ABE36B70F}"/>
    <hyperlink ref="B55" r:id="rId54" display="https://ntabankulu.gov.za/" xr:uid="{A495DD63-4CA7-42EC-889C-0E5D1AC5CD1E}"/>
    <hyperlink ref="B56" r:id="rId55" display="https://windows.net/sacaa" xr:uid="{E62488EC-D741-400E-BC29-2C6D9D655150}"/>
    <hyperlink ref="B57" r:id="rId56" display="https://windows.net/sacaa" xr:uid="{6E80F7E2-D711-4683-A66E-8BED4A1307E7}"/>
    <hyperlink ref="B58" r:id="rId57" display="https://bolwasecurityservices.co.za/" xr:uid="{EDA18720-ADCB-4FB8-ACC6-FD52886A87FB}"/>
    <hyperlink ref="B59" r:id="rId58" display="https://mikebolhuis.co.za/" xr:uid="{BD014079-4ABE-4EBB-9AEC-504BABA93E51}"/>
    <hyperlink ref="B60" r:id="rId59" display="https://www.gov.za/" xr:uid="{208BB342-4933-44C2-B62C-EC0D237C81A4}"/>
    <hyperlink ref="B61" r:id="rId60" display="https://www.gov.za/" xr:uid="{CB696DAD-16A8-432F-BB6C-D8C04AB3BA4C}"/>
    <hyperlink ref="B62" r:id="rId61" display="https://www.gov.za/" xr:uid="{C06DDF27-1C0E-469B-9EC9-BFE883150690}"/>
    <hyperlink ref="B63" r:id="rId62" display="https://www.gov.za/" xr:uid="{DC8D683C-547A-41AE-812F-087D30B70018}"/>
    <hyperlink ref="B64" r:id="rId63" display="https://www.gov.za/" xr:uid="{EB8294EC-367C-4675-B2CF-6C0E44585835}"/>
    <hyperlink ref="B65" r:id="rId64" display="https://www.gov.za/" xr:uid="{4FF45BA6-7C30-4224-8B81-22BEB43B70C6}"/>
    <hyperlink ref="B66" r:id="rId65" display="https://fixitmaintenance.co.za/" xr:uid="{A5552FAC-4CB3-46CB-986F-C5FA2ABCCB3C}"/>
    <hyperlink ref="B67" r:id="rId66" display="https://fixitmaintenance.co.za/" xr:uid="{49746822-A258-4A46-A7AC-01436E1E7F77}"/>
    <hyperlink ref="B68" r:id="rId67" display="https://gillcoopergardens.co.za/" xr:uid="{9E09C8D3-2BEF-4FF4-8744-596461AFBD45}"/>
    <hyperlink ref="B69" r:id="rId68" display="https://sandtoncleaners.co.za/" xr:uid="{39F4C55C-5D22-4E21-86A8-364D9659776C}"/>
    <hyperlink ref="B70" r:id="rId69" display="https://b4electrical.co.za/" xr:uid="{135A37EA-ADFD-479C-8B85-D1851AFBCD8B}"/>
    <hyperlink ref="B71" r:id="rId70" display="https://laatzelectrical.co.za/" xr:uid="{8FCF1A14-12B6-4D50-945D-8540A4F7E489}"/>
    <hyperlink ref="B72" r:id="rId71" display="https://dffe.gov.za/" xr:uid="{294FE395-6B72-4EDC-9BA3-6A98D1DBE554}"/>
    <hyperlink ref="B73" r:id="rId72" display="https://westerncape.gov.za/" xr:uid="{8390DD71-99C3-46D7-9AAE-0A45AD818D0E}"/>
    <hyperlink ref="B74" r:id="rId73" display="https://kzntransport.gov.za/" xr:uid="{B926E5EA-F1C8-4E85-89B6-4ABCC92FCC94}"/>
    <hyperlink ref="B75" r:id="rId74" display="https://kzntransport.gov.za/" xr:uid="{F231CE04-AAA5-4E49-9A7F-4A47A80474C0}"/>
    <hyperlink ref="B76" r:id="rId75" display="https://uber.com/" xr:uid="{DB92DA1E-6626-42BA-928C-1F2FE9C95AA4}"/>
    <hyperlink ref="B77" r:id="rId76" display="https://uber.com/" xr:uid="{08E55523-5D74-4347-A0FD-2F6420EED786}"/>
    <hyperlink ref="B78" r:id="rId77" display="https://gumtree.co.za/" xr:uid="{51C9C843-3676-4AC3-82C1-D2CD56874FB4}"/>
    <hyperlink ref="B79" r:id="rId78" display="https://gumtree.co.za/" xr:uid="{691300C7-CAFF-4C24-AAC5-19B6D68DF0F3}"/>
    <hyperlink ref="B80" r:id="rId79" display="https://gumtree.co.za/" xr:uid="{262D7F5D-6BF0-40F4-BF6D-7424F2C41CAF}"/>
    <hyperlink ref="B81" r:id="rId80" display="https://gumtree.co.za/" xr:uid="{C9C5A18D-3258-4FCB-B8F1-D8D1A0BA2AD3}"/>
    <hyperlink ref="B82" r:id="rId81" display="https://gumtree.co.za/" xr:uid="{0CE1CB3B-712A-44A1-AF37-6EBDD933699C}"/>
    <hyperlink ref="B83" r:id="rId82" display="https://gumtree.co.za/" xr:uid="{2C11C933-BD6C-40F5-B21A-EE2E3939DEBC}"/>
    <hyperlink ref="B84" r:id="rId83" display="https://gumtree.co.za/" xr:uid="{4E94A175-1ED7-422E-911A-48148D0295CD}"/>
    <hyperlink ref="B85" r:id="rId84" display="https://gumtree.co.za/" xr:uid="{EB180FA7-8236-40C5-9CB1-97A51DAF4DB0}"/>
    <hyperlink ref="B86" r:id="rId85" display="https://gumtree.co.za/" xr:uid="{F08F6560-E8D0-4B4C-8F18-F0BF4486CA39}"/>
    <hyperlink ref="B87" r:id="rId86" display="https://gumtree.co.za/" xr:uid="{9064A6D9-3F37-419D-A165-17B53A8959CC}"/>
    <hyperlink ref="B88" r:id="rId87" display="https://sphtransport.co.za/" xr:uid="{67B6A5B2-86FB-418E-BCD9-4D5AE3B891C8}"/>
    <hyperlink ref="B89" r:id="rId88" display="https://marshallplumbing.co.za/" xr:uid="{0447F7CC-4F69-4DD4-AE66-1A95CB056167}"/>
    <hyperlink ref="B90" r:id="rId89" display="https://pirateplumbing.co.za/" xr:uid="{CE553573-057D-4073-85F5-79413F4879DE}"/>
    <hyperlink ref="B91" r:id="rId90" display="https://hbplumbing.co.za/" xr:uid="{BC25FAFC-4C1F-4BBF-9AFE-3EDC98A61D59}"/>
    <hyperlink ref="B92" r:id="rId91" display="https://handymanhomes.co.za/" xr:uid="{23CBC44D-18AC-4209-88DF-8836A7BF0ED0}"/>
    <hyperlink ref="B93" r:id="rId92" display="https://khulanathielectrical.co.za/" xr:uid="{D5D618D1-893D-4A62-B51C-8B9066246F88}"/>
    <hyperlink ref="B94" r:id="rId93" display="https://bcnelectrical.co.za/" xr:uid="{B14F2ADF-BA6A-47DE-8BAE-351D3CF19512}"/>
    <hyperlink ref="B95" r:id="rId94" display="https://laatzelectrical.co.za/" xr:uid="{36F6371E-7344-468D-87FA-87E6FE0D744E}"/>
    <hyperlink ref="B96" r:id="rId95" display="https://glowgomobilecarwash.co.za/" xr:uid="{BBFD4574-1A01-4895-8181-E12E547EA944}"/>
    <hyperlink ref="B97" r:id="rId96" display="https://whalecoastdirectory.co.za/" xr:uid="{5D62DF67-BF3B-41EE-A557-97A34A124C07}"/>
    <hyperlink ref="B98" r:id="rId97" display="https://whalecoastdirectory.co.za/" xr:uid="{6B35E893-F1CA-48D9-935B-1ACD0D7A5471}"/>
    <hyperlink ref="B99" r:id="rId98" display="https://whalecoastdirectory.co.za/" xr:uid="{6BA5552E-27EE-4FC4-BBE5-D2442F3D73DF}"/>
    <hyperlink ref="B100" r:id="rId99" display="https://whalecoastdirectory.co.za/" xr:uid="{830609C8-0DFE-45FF-8B66-F555E4C6D58E}"/>
    <hyperlink ref="B101" r:id="rId100" display="https://whalecoastdirectory.co.za/" xr:uid="{C08254E5-C80C-446A-BC0D-0F692F3989AA}"/>
    <hyperlink ref="B102" r:id="rId101" display="https://whalecoastdirectory.co.za/" xr:uid="{01EEF638-5B24-406E-B3C9-7BB9F4F9AF97}"/>
    <hyperlink ref="B103" r:id="rId102" display="https://whalecoastdirectory.co.za/" xr:uid="{C8624326-DC4D-4C34-B1CD-800E8559CFEC}"/>
    <hyperlink ref="B104" r:id="rId103" display="https://whalecoastdirectory.co.za/" xr:uid="{71BBDDCA-C29E-4FD1-B17D-EA8D45D0F713}"/>
    <hyperlink ref="B105" r:id="rId104" display="https://www.gov.za/" xr:uid="{E5898ABB-C42E-4F21-88A1-3094D18A4BBA}"/>
    <hyperlink ref="B106" r:id="rId105" display="https://www.gov.za/" xr:uid="{A73E3D2F-FEF6-4F0D-8F1C-D1A8C0BB458E}"/>
    <hyperlink ref="B107" r:id="rId106" display="https://www.gov.za/" xr:uid="{557DEF5A-3D9E-4C87-AB4B-B26C089B9BB5}"/>
    <hyperlink ref="B108" r:id="rId107" display="https://www.gov.za/" xr:uid="{7101EE19-8ED0-49C0-A6A3-238264A56FA0}"/>
    <hyperlink ref="B109" r:id="rId108" display="https://www.gov.za/" xr:uid="{C082574A-A95B-458C-A883-D4B9FC83E37F}"/>
    <hyperlink ref="B110" r:id="rId109" display="https://www.gov.za/" xr:uid="{D15453D4-BFB2-4759-B216-C4A7C4B2C0D4}"/>
    <hyperlink ref="B111" r:id="rId110" display="https://www.gov.za/" xr:uid="{C340C879-FE4C-4338-8669-353E9E587361}"/>
    <hyperlink ref="B112" r:id="rId111" display="https://www.gov.za/" xr:uid="{295F4160-B813-42EF-AAE4-4B2632C9E420}"/>
    <hyperlink ref="B113" r:id="rId112" display="https://www.gov.za/" xr:uid="{2689CC30-78E5-458F-A5C0-751D82B79095}"/>
    <hyperlink ref="B114" r:id="rId113" display="https://www.gov.za/" xr:uid="{3955C33F-9351-4497-9AC7-D186B034F66C}"/>
    <hyperlink ref="B115" r:id="rId114" display="https://www.gov.za/" xr:uid="{8338281A-736C-4F9A-BE57-5A8167F2670B}"/>
    <hyperlink ref="B116" r:id="rId115" display="https://www.gov.za/" xr:uid="{4A87ACC0-6E1F-4AA4-9432-5EDF709CA372}"/>
    <hyperlink ref="B117" r:id="rId116" display="https://www.gov.za/" xr:uid="{C7F75242-52BB-41D0-BE4A-492D79B1203E}"/>
    <hyperlink ref="B118" r:id="rId117" display="https://www.gov.za/" xr:uid="{9C7DDE92-03FC-4F5C-A225-96536978F61C}"/>
    <hyperlink ref="B119" r:id="rId118" display="https://www.gov.za/" xr:uid="{E26D4B92-A289-4CF4-917D-3913D08B063E}"/>
  </hyperlinks>
  <pageMargins left="0.7" right="0.7" top="0.75" bottom="0.75" header="0.3" footer="0.3"/>
  <pageSetup orientation="portrait" horizontalDpi="360" verticalDpi="360" r:id="rId1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Shuttleworth</dc:creator>
  <cp:lastModifiedBy>Claire Shuttleworth</cp:lastModifiedBy>
  <dcterms:created xsi:type="dcterms:W3CDTF">2026-03-21T13:36:50Z</dcterms:created>
  <dcterms:modified xsi:type="dcterms:W3CDTF">2026-04-11T10:32:36Z</dcterms:modified>
</cp:coreProperties>
</file>